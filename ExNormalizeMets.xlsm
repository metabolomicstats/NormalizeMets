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vriel\Dropbox\NormalizeMets-related\Excel_integration\TestData\"/>
    </mc:Choice>
  </mc:AlternateContent>
  <bookViews>
    <workbookView xWindow="0" yWindow="0" windowWidth="12020" windowHeight="7950" tabRatio="861" firstSheet="8" activeTab="9" xr2:uid="{00000000-000D-0000-FFFF-FFFF00000000}"/>
  </bookViews>
  <sheets>
    <sheet name="featuredata" sheetId="1" state="hidden" r:id="rId1"/>
    <sheet name="sampledata" sheetId="2" state="hidden" r:id="rId2"/>
    <sheet name="metabolitedata" sheetId="3" state="hidden" r:id="rId3"/>
    <sheet name="featuredata.log" sheetId="5" state="hidden" r:id="rId4"/>
    <sheet name="featuredata.nomissingnolog" sheetId="16" state="hidden" r:id="rId5"/>
    <sheet name="featuredata.nomissing" sheetId="7" state="hidden" r:id="rId6"/>
    <sheet name="sampledata.nomissing" sheetId="8" state="hidden" r:id="rId7"/>
    <sheet name="metabolitedata.nomissing" sheetId="9" state="hidden" r:id="rId8"/>
    <sheet name="plots" sheetId="11" r:id="rId9"/>
    <sheet name="settings" sheetId="4" r:id="rId10"/>
    <sheet name="norm1" sheetId="12" state="hidden" r:id="rId11"/>
    <sheet name="norm1LMresults" sheetId="17" state="hidden" r:id="rId12"/>
    <sheet name="norm2" sheetId="13" state="hidden" r:id="rId13"/>
    <sheet name="norm2LMresults" sheetId="18" state="hidden" r:id="rId14"/>
    <sheet name="norm3" sheetId="14" state="hidden" r:id="rId15"/>
    <sheet name="norm3LMresults" sheetId="19" state="hidden" r:id="rId16"/>
    <sheet name="norm4" sheetId="15" state="hidden" r:id="rId17"/>
    <sheet name="norm4LMresults" sheetId="20" state="hidden" r:id="rId18"/>
    <sheet name="rfuncsettings" sheetId="6" state="hidden" r:id="rId19"/>
  </sheets>
  <functionGroups builtInGroupCount="18"/>
  <definedNames>
    <definedName name="CompareCorrHistCall">rfuncsettings!$B$256</definedName>
    <definedName name="CompareCorrHistCol">rfuncsettings!$F$266</definedName>
    <definedName name="CompareCorrHistCorrName">rfuncsettings!$J$260</definedName>
    <definedName name="CompareCorrHistCorrPYlim">rfuncsettings!$L$264</definedName>
    <definedName name="CompareCorrHistCorrXlab">rfuncsettings!$J$262</definedName>
    <definedName name="CompareCorrHistCorrXlim">rfuncsettings!$J$265</definedName>
    <definedName name="CompareCorrHistCorrYlim">rfuncsettings!$J$264</definedName>
    <definedName name="CompareCorrHistExpEnd">rfuncsettings!$B$266</definedName>
    <definedName name="CompareCorrHistExpStart">rfuncsettings!$B$257</definedName>
    <definedName name="CompareCorrHistIncPval">rfuncsettings!$J$257</definedName>
    <definedName name="CompareCorrHistPlot1">rfuncsettings!$K$257</definedName>
    <definedName name="CompareCorrHistPlot2">rfuncsettings!$L$257</definedName>
    <definedName name="CompareCorrHistPlot3">rfuncsettings!$M$257</definedName>
    <definedName name="CompareCorrHistPlot4">rfuncsettings!$N$257</definedName>
    <definedName name="CompareCorrHistPName">rfuncsettings!$L$260</definedName>
    <definedName name="CompareCorrHistPXlab">rfuncsettings!$L$262</definedName>
    <definedName name="CompareCorrHistPXlim">rfuncsettings!$L$265</definedName>
    <definedName name="CompareCorrHistPYlim">rfuncsettings!$L$264</definedName>
    <definedName name="CompareCorrHistTotalCall">rfuncsettings!$B$267</definedName>
    <definedName name="ComparePcaPlotsCall">rfuncsettings!$B$309</definedName>
    <definedName name="ComparePcaPlotsExpEnd">rfuncsettings!$B$322</definedName>
    <definedName name="ComparePcaPlotsExpStart">rfuncsettings!$B$310</definedName>
    <definedName name="ComparePcaPlotsGroupFactor">rfuncsettings!$J$311</definedName>
    <definedName name="ComparePcaPlotsPlot1">rfuncsettings!$K$310</definedName>
    <definedName name="ComparePcaPlotsPlot2">rfuncsettings!$L$310</definedName>
    <definedName name="ComparePcaPlotsPlot3">rfuncsettings!$M$310</definedName>
    <definedName name="ComparePcaPlotsPlot4">rfuncsettings!$N$310</definedName>
    <definedName name="ComparePcaPlotsPlotName">rfuncsettings!$F$313</definedName>
    <definedName name="ComparePcaPlotsTotalCall">rfuncsettings!$B$323</definedName>
    <definedName name="ComparePvalHistCall">rfuncsettings!$B$224</definedName>
    <definedName name="ComparePvalHistCoefName">rfuncsettings!$J$225</definedName>
    <definedName name="ComparePvalHistCol">rfuncsettings!$F$234</definedName>
    <definedName name="ComparePvalHistExpEnd">rfuncsettings!$B$234</definedName>
    <definedName name="ComparePvalHistExpStart">rfuncsettings!$B$225</definedName>
    <definedName name="ComparePvalHistPlot1">rfuncsettings!$K$225</definedName>
    <definedName name="ComparePvalHistPlot2">rfuncsettings!$L$225</definedName>
    <definedName name="ComparePvalHistPlot3">rfuncsettings!$M$225</definedName>
    <definedName name="ComparePvalHistPlot4">rfuncsettings!$N$225</definedName>
    <definedName name="ComparePvalHistPlotname">rfuncsettings!$F$228</definedName>
    <definedName name="ComparePvalHistTotalCall">rfuncsettings!$B$235</definedName>
    <definedName name="ComparePvalHistXlab">rfuncsettings!$F$230</definedName>
    <definedName name="ComparePvalHistYlab">rfuncsettings!$F$231</definedName>
    <definedName name="ComparePvalHistYlim">rfuncsettings!$F$232</definedName>
    <definedName name="CompareRlaPlotsCall">rfuncsettings!$B$209</definedName>
    <definedName name="CompareRlaPlotsExpEnd">rfuncsettings!$B$217</definedName>
    <definedName name="CompareRlaPlotsExpStart">rfuncsettings!$B$210</definedName>
    <definedName name="CompareRlaPlotsGroupdata">rfuncsettings!$F$211</definedName>
    <definedName name="CompareRlaPlotsLfeaturedata">rfuncsettings!$F$210</definedName>
    <definedName name="CompareRlaPlotsNormmeth">rfuncsettings!$F$212</definedName>
    <definedName name="CompareRlaPlotsPlot1">rfuncsettings!$K$210</definedName>
    <definedName name="CompareRlaPlotsPlot2">rfuncsettings!$L$210</definedName>
    <definedName name="CompareRlaPlotsPlot3">rfuncsettings!$M$210</definedName>
    <definedName name="CompareRlaPlotsPlot4">rfuncsettings!$N$210</definedName>
    <definedName name="CompareRlaPlotsPlottitle">rfuncsettings!$F$215</definedName>
    <definedName name="CompareRlaPlotsSaveName">rfuncsettings!$F$217</definedName>
    <definedName name="CompareRlaPlotsTotalCall">rfuncsettings!$B$218</definedName>
    <definedName name="CompareRlaPlotsType">rfuncsettings!$F$213</definedName>
    <definedName name="CompareRlaPlotsYrange">rfuncsettings!$F$214</definedName>
    <definedName name="CompareVolcanoPlotsCall">rfuncsettings!$B$188</definedName>
    <definedName name="CompareVolcanoPlotsCoeflimit">rfuncsettings!$F$193</definedName>
    <definedName name="CompareVolcanoPlotsCoefName">rfuncsettings!$J$189</definedName>
    <definedName name="CompareVolcanoPlotsExpEnd">rfuncsettings!$B$202</definedName>
    <definedName name="CompareVolcanoPlotsExpStart">rfuncsettings!$B$189</definedName>
    <definedName name="CompareVolcanoPlotsLcoef">rfuncsettings!$F$189</definedName>
    <definedName name="CompareVolcanoPlotsLpvals">rfuncsettings!$F$190</definedName>
    <definedName name="CompareVolcanoPlotsNegcontrol">rfuncsettings!$F$195</definedName>
    <definedName name="CompareVolcanoPlotsNormmeth">rfuncsettings!$F$191</definedName>
    <definedName name="CompareVolcanoPlotsPlimit">rfuncsettings!$F$192</definedName>
    <definedName name="CompareVolcanoPlotsPlot1">rfuncsettings!$K$189</definedName>
    <definedName name="CompareVolcanoPlotsPlot2">rfuncsettings!$L$189</definedName>
    <definedName name="CompareVolcanoPlotsPlot3">rfuncsettings!$M$189</definedName>
    <definedName name="CompareVolcanoPlotsPlot4">rfuncsettings!$N$189</definedName>
    <definedName name="CompareVolcanoPlotsPlotname">rfuncsettings!$F$202</definedName>
    <definedName name="CompareVolcanoPlotsPoscontrol">rfuncsettings!$F$196</definedName>
    <definedName name="CompareVolcanoPlotsTotalCall">rfuncsettings!$B$203</definedName>
    <definedName name="CompareVolcanoPlotsXlab">rfuncsettings!$F$197</definedName>
    <definedName name="CompareVolcanoPlotsYlab">rfuncsettings!$F$198</definedName>
    <definedName name="CompareVolcanoPlotsYmax">rfuncsettings!$L$194</definedName>
    <definedName name="CompareVolcanoPlotsYmin">rfuncsettings!$K$194</definedName>
    <definedName name="CompareVolcanoPlotsYrange">rfuncsettings!$F$194</definedName>
    <definedName name="CurrentFeatDataSource">rfuncsettings!$R$31</definedName>
    <definedName name="CurrentMethod">rfuncsettings!$R$20</definedName>
    <definedName name="CurrentNorm">rfuncsettings!$R$29</definedName>
    <definedName name="DendDistStart">rfuncsettings!$J$81</definedName>
    <definedName name="DendFeatName">rfuncsettings!$F$76</definedName>
    <definedName name="DendoAggEnd">rfuncsettings!$P$82</definedName>
    <definedName name="DendoAggStart">rfuncsettings!$J$82</definedName>
    <definedName name="DendoDistEnd">rfuncsettings!$O$81</definedName>
    <definedName name="DendoDistStart">rfuncsettings!$J$81</definedName>
    <definedName name="DendrogramAggMethod">rfuncsettings!$F$82</definedName>
    <definedName name="DendrogramCall">rfuncsettings!$B$75</definedName>
    <definedName name="DendrogramCex">rfuncsettings!$F$84</definedName>
    <definedName name="DendrogramDistMethod">rfuncsettings!$F$81</definedName>
    <definedName name="DendrogramExpEnd">rfuncsettings!$B$84</definedName>
    <definedName name="DendrogramExpStart">rfuncsettings!$B$76</definedName>
    <definedName name="DendrogramGroupData">rfuncsettings!$F$77</definedName>
    <definedName name="DendrogramMain">rfuncsettings!$F$83</definedName>
    <definedName name="DendrogramPlotName">rfuncsettings!$F$79</definedName>
    <definedName name="DendrogramTotalCall">rfuncsettings!$B$85</definedName>
    <definedName name="ExternalData_1" localSheetId="0">featuredata!#REF!</definedName>
    <definedName name="ExternalData_1" localSheetId="3">featuredata.log!#REF!</definedName>
    <definedName name="ExternalData_1" localSheetId="5">featuredata.nomissing!#REF!</definedName>
    <definedName name="ExternalData_1" localSheetId="4">featuredata.nomissingnolog!#REF!</definedName>
    <definedName name="ExternalData_1" localSheetId="2">metabolitedata!#REF!</definedName>
    <definedName name="ExternalData_1" localSheetId="7">metabolitedata.nomissing!#REF!</definedName>
    <definedName name="ExternalData_1" localSheetId="13">norm2LMresults!#REF!</definedName>
    <definedName name="ExternalData_1" localSheetId="15">norm3LMresults!#REF!</definedName>
    <definedName name="ExternalData_1" localSheetId="16">norm4!#REF!</definedName>
    <definedName name="ExternalData_1" localSheetId="17">norm4LMresults!#REF!</definedName>
    <definedName name="ExternalData_1" localSheetId="1">sampledata!#REF!</definedName>
    <definedName name="ExternalData_1" localSheetId="6">sampledata.nomissing!#REF!</definedName>
    <definedName name="ExternalData_11" localSheetId="0">featuredata!#REF!</definedName>
    <definedName name="ExternalData_12" localSheetId="0">featuredata!#REF!</definedName>
    <definedName name="ExternalData_13" localSheetId="0">featuredata!#REF!</definedName>
    <definedName name="ExternalData_13" localSheetId="3">featuredata.log!#REF!</definedName>
    <definedName name="ExternalData_13" localSheetId="16">norm4!#REF!</definedName>
    <definedName name="ExternalData_14" localSheetId="0">featuredata!#REF!</definedName>
    <definedName name="ExternalData_14" localSheetId="3">featuredata.log!#REF!</definedName>
    <definedName name="ExternalData_14" localSheetId="7">metabolitedata.nomissing!#REF!</definedName>
    <definedName name="ExternalData_14" localSheetId="16">norm4!#REF!</definedName>
    <definedName name="ExternalData_15" localSheetId="3">featuredata.log!#REF!</definedName>
    <definedName name="ExternalData_15" localSheetId="7">metabolitedata.nomissing!#REF!</definedName>
    <definedName name="ExternalData_16" localSheetId="3">featuredata.log!#REF!</definedName>
    <definedName name="ExternalData_17" localSheetId="3">featuredata.log!#REF!</definedName>
    <definedName name="ExternalData_2" localSheetId="0">featuredata!#REF!</definedName>
    <definedName name="ExternalData_2" localSheetId="7">metabolitedata.nomissing!#REF!</definedName>
    <definedName name="ExternalData_2" localSheetId="10">norm1!#REF!</definedName>
    <definedName name="ExternalData_2" localSheetId="11">norm1LMresults!#REF!</definedName>
    <definedName name="ExternalData_2" localSheetId="16">norm4!#REF!</definedName>
    <definedName name="ExternalData_3" localSheetId="0">featuredata!#REF!</definedName>
    <definedName name="ExternalData_3" localSheetId="7">metabolitedata.nomissing!#REF!</definedName>
    <definedName name="ExternalData_3" localSheetId="12">norm2!#REF!</definedName>
    <definedName name="ExternalData_3" localSheetId="16">norm4!#REF!</definedName>
    <definedName name="ExternalData_4" localSheetId="7">metabolitedata.nomissing!#REF!</definedName>
    <definedName name="ExternalData_4" localSheetId="11">norm1LMresults!#REF!</definedName>
    <definedName name="ExternalData_5" localSheetId="7">metabolitedata.nomissing!#REF!</definedName>
    <definedName name="ExternalData_5" localSheetId="11">norm1LMresults!#REF!</definedName>
    <definedName name="ExternalData_5" localSheetId="16">norm4!#REF!</definedName>
    <definedName name="ExternalData_6" localSheetId="7">metabolitedata.nomissing!#REF!</definedName>
    <definedName name="ExternalData_6" localSheetId="14">norm3!#REF!</definedName>
    <definedName name="ExternalData_7" localSheetId="7">metabolitedata.nomissing!#REF!</definedName>
    <definedName name="ExternalData_7" localSheetId="14">norm3!#REF!</definedName>
    <definedName name="ExternalData_7" localSheetId="16">norm4!#REF!</definedName>
    <definedName name="ExternalData_8" localSheetId="7">metabolitedata.nomissing!#REF!</definedName>
    <definedName name="ExternalData_9" localSheetId="7">metabolitedata.nomissing!#REF!</definedName>
    <definedName name="featCutoff">rfuncsettings!$F$7</definedName>
    <definedName name="GenerateVennPlot">rfuncsettings!$B$241</definedName>
    <definedName name="GenerateVennPlotAsp">rfuncsettings!$F$249</definedName>
    <definedName name="GenerateVennPlotCall">rfuncsettings!$B$241</definedName>
    <definedName name="GenerateVennPlotCexval">rfuncsettings!$F$248</definedName>
    <definedName name="GenerateVennPlotCoeflimit">rfuncsettings!$J$244</definedName>
    <definedName name="GenerateVennPlotCoefName">rfuncsettings!$J$242</definedName>
    <definedName name="GenerateVennPlotExpEnd">rfuncsettings!$B$249</definedName>
    <definedName name="GenerateVennPlotExpStart">rfuncsettings!$B$242</definedName>
    <definedName name="GenerateVennPlotMain">rfuncsettings!$F$247</definedName>
    <definedName name="GenerateVennPlotPlot1">rfuncsettings!$K$242</definedName>
    <definedName name="GenerateVennPlotPlot2">rfuncsettings!$L$242</definedName>
    <definedName name="GenerateVennPlotPlot3">rfuncsettings!$M$242</definedName>
    <definedName name="GenerateVennPlotPlot4">rfuncsettings!$N$242</definedName>
    <definedName name="GenerateVennPlotPlotname">rfuncsettings!$F$245</definedName>
    <definedName name="GenerateVennPlotPval">rfuncsettings!$J$243</definedName>
    <definedName name="GenerateVennPlotTotalCall">rfuncsettings!$B$250</definedName>
    <definedName name="HeatAggEnd">rfuncsettings!$P$102</definedName>
    <definedName name="HeatAggStart">rfuncsettings!$J$102</definedName>
    <definedName name="HeatDendEnd">rfuncsettings!$M$100</definedName>
    <definedName name="HeatDendStart">rfuncsettings!$J$100</definedName>
    <definedName name="HeatDistEnd">rfuncsettings!$O$101</definedName>
    <definedName name="HeatDistStart">rfuncsettings!$J$101</definedName>
    <definedName name="HeatFeatName">rfuncsettings!$H$91</definedName>
    <definedName name="HeatMapAggMethod">rfuncsettings!$F$102</definedName>
    <definedName name="HeatMapCall">rfuncsettings!$B$90</definedName>
    <definedName name="HeatMapColramp">rfuncsettings!$F$98</definedName>
    <definedName name="HeatMapDendrogram">rfuncsettings!$F$100</definedName>
    <definedName name="HeatMapDistMethod">rfuncsettings!$F$101</definedName>
    <definedName name="HeatMapExpEnd">rfuncsettings!$B$107</definedName>
    <definedName name="HeatMapExpStart">rfuncsettings!$B$91</definedName>
    <definedName name="HeatMapGroupData">rfuncsettings!$F$92</definedName>
    <definedName name="HeatMapPlotName">rfuncsettings!$F$94</definedName>
    <definedName name="HeatMapScale">rfuncsettings!$F$99</definedName>
    <definedName name="HeatMapTotalCall">rfuncsettings!$B$108</definedName>
    <definedName name="HeatScaleEnd">rfuncsettings!$L$99</definedName>
    <definedName name="HeatScaleStart">rfuncsettings!$J$99</definedName>
    <definedName name="historyDir">rfuncsettings!$P$7</definedName>
    <definedName name="LinearModelFitCall">rfuncsettings!$B$170</definedName>
    <definedName name="LinearModelFitCi_Alpha">rfuncsettings!$F$179</definedName>
    <definedName name="LinearModelFitCurrentFactors">rfuncsettings!$M$172</definedName>
    <definedName name="LinearModelFitCurrentIntercept">rfuncsettings!$O$172</definedName>
    <definedName name="LinearModelFitExpEnd">rfuncsettings!$B$181</definedName>
    <definedName name="LinearModelFitExpStart">rfuncsettings!$B$171</definedName>
    <definedName name="LinearModelFitFactoMatCall">rfuncsettings!$H$172</definedName>
    <definedName name="LinearModelFitFactorMat">rfuncsettings!$F$172</definedName>
    <definedName name="LinearModelFitFactorMatEnd">rfuncsettings!$J$172</definedName>
    <definedName name="LinearModelFitFactorMatShow">rfuncsettings!$I$172</definedName>
    <definedName name="LinearModelFitFactorMatStart">rfuncsettings!$K$172</definedName>
    <definedName name="LinearModelFitK">rfuncsettings!$F$175</definedName>
    <definedName name="LinearModelFitModerated">rfuncsettings!$F$177</definedName>
    <definedName name="LinearModelFitOutputname">rfuncsettings!$F$181</definedName>
    <definedName name="LinearModelFitPAdjMeth">rfuncsettings!$F$178</definedName>
    <definedName name="LinearModelFitQcmets">rfuncsettings!$F$176</definedName>
    <definedName name="LinearModelFitRuv2">rfuncsettings!$F$174</definedName>
    <definedName name="LinearModelFitTotalCall">rfuncsettings!$B$182</definedName>
    <definedName name="LMCurrentFactor">rfuncsettings!$R$33</definedName>
    <definedName name="LMFPAdjMethEnd">rfuncsettings!$O$178</definedName>
    <definedName name="LMFPAdjMethStart">rfuncsettings!$J$178</definedName>
    <definedName name="LogTransformCall">rfuncsettings!$B$21</definedName>
    <definedName name="LogTransformExpEnd">rfuncsettings!$B$26</definedName>
    <definedName name="LogTransformExpStart">rfuncsettings!$B$22</definedName>
    <definedName name="LogTransformFeatName">rfuncsettings!$F$22</definedName>
    <definedName name="LogTransformTotalCall">rfuncsettings!$B$27</definedName>
    <definedName name="MissfeatCutoff">rfuncsettings!$F$7</definedName>
    <definedName name="MissingComp">rfuncsettings!$W$5</definedName>
    <definedName name="MissingFeatCutoff">rfuncsettings!$F$7</definedName>
    <definedName name="MissingFeatMaxknn">rfuncsettings!$F$11</definedName>
    <definedName name="MissingFeatName">rfuncsettings!$F$4</definedName>
    <definedName name="MissingK">rfuncsettings!$F$10</definedName>
    <definedName name="MissingMetabName">rfuncsettings!$F$6</definedName>
    <definedName name="MissingMethod">rfuncsettings!$F$9</definedName>
    <definedName name="MissingSampCutoff">rfuncsettings!$F$8</definedName>
    <definedName name="MissingSampMaxknn">rfuncsettings!$F$12</definedName>
    <definedName name="MissingSampName">rfuncsettings!$F$5</definedName>
    <definedName name="MissingSeed">rfuncsettings!$F$13</definedName>
    <definedName name="MissingValuesCall">rfuncsettings!$B$3</definedName>
    <definedName name="MissingValuesExpEnd">rfuncsettings!$B$15</definedName>
    <definedName name="MissingValuesExpStart">rfuncsettings!$B$4</definedName>
    <definedName name="MissingValuesTotalCall">rfuncsettings!$B$16</definedName>
    <definedName name="ModelFitFeatName">rfuncsettings!$F$171</definedName>
    <definedName name="MyRscriptLocation">settings!$D$35</definedName>
    <definedName name="MyWorkingDirectory" comment="The location where files produced should be saved. User defined working directory">settings!$D$33</definedName>
    <definedName name="Norm1Empty">rfuncsettings!$P$24</definedName>
    <definedName name="Norm1Intercept">rfuncsettings!$V$24</definedName>
    <definedName name="Norm1LMdata">rfuncsettings!$P$26</definedName>
    <definedName name="Norm1Method">rfuncsettings!$P$23</definedName>
    <definedName name="Norm1NumFactors">rfuncsettings!$V$23</definedName>
    <definedName name="Norm2Empty">rfuncsettings!$Q$24</definedName>
    <definedName name="Norm2Intercept">rfuncsettings!$W$24</definedName>
    <definedName name="Norm2LMdata">rfuncsettings!$Q$26</definedName>
    <definedName name="Norm2Method">rfuncsettings!$Q$23</definedName>
    <definedName name="Norm2NumFactors">rfuncsettings!$W$23</definedName>
    <definedName name="Norm3Empty">rfuncsettings!$R$24</definedName>
    <definedName name="Norm3Intercept">rfuncsettings!$X$24</definedName>
    <definedName name="Norm3LMdata">rfuncsettings!$R$26</definedName>
    <definedName name="Norm3Method">rfuncsettings!$R$23</definedName>
    <definedName name="Norm3NumFactors">rfuncsettings!$X$23</definedName>
    <definedName name="Norm4Empty">rfuncsettings!$S$24</definedName>
    <definedName name="Norm4Intercept">rfuncsettings!$Y$24</definedName>
    <definedName name="Norm4LMdata">rfuncsettings!$S$26</definedName>
    <definedName name="Norm4Method">rfuncsettings!$S$23</definedName>
    <definedName name="Norm4NumFactors">rfuncsettings!$Y$23</definedName>
    <definedName name="NormCombinedActive">rfuncsettings!$F$162</definedName>
    <definedName name="NormCombinedCall">rfuncsettings!$B$159</definedName>
    <definedName name="NormCombinedExpEnd">rfuncsettings!$B$162</definedName>
    <definedName name="NormCombinedExpStart">rfuncsettings!$B$160</definedName>
    <definedName name="NormCombinedMeth1End">rfuncsettings!$S$160</definedName>
    <definedName name="NormCombinedMeth1Start">rfuncsettings!$J$160</definedName>
    <definedName name="NormCombinedMeth2End">rfuncsettings!$R$161</definedName>
    <definedName name="NormCombinedMeth2Start">rfuncsettings!$J$161</definedName>
    <definedName name="NormCombinedMethod1">rfuncsettings!$F$160</definedName>
    <definedName name="NormCombinedMethod2">rfuncsettings!$F$161</definedName>
    <definedName name="NormQcmetsCall">rfuncsettings!$B$114</definedName>
    <definedName name="NormQcmetsExpEnd">rfuncsettings!$B$129</definedName>
    <definedName name="NormQcmetsExpStart">rfuncsettings!$B$115</definedName>
    <definedName name="NormQcmetsISvec">rfuncsettings!$F$118</definedName>
    <definedName name="NormQcmetsISvecCall">rfuncsettings!$J$118</definedName>
    <definedName name="NormQcmetsK">rfuncsettings!$F$120</definedName>
    <definedName name="NormQcmetsLambda">rfuncsettings!$F$122</definedName>
    <definedName name="NormQcmetsLambdaUpdate">rfuncsettings!$F$126</definedName>
    <definedName name="NormQcmetsMaxIter">rfuncsettings!$F$124</definedName>
    <definedName name="NormQcmetsMethod">rfuncsettings!$F$117</definedName>
    <definedName name="NormQcmetsNcomp">rfuncsettings!$F$119</definedName>
    <definedName name="NormQcmetsNUpdate">rfuncsettings!$F$125</definedName>
    <definedName name="NormQcmetsOutputName">rfuncsettings!$F$129</definedName>
    <definedName name="NormQcmetsP">rfuncsettings!$F$127</definedName>
    <definedName name="NormQcmetsPlotK">rfuncsettings!$F$121</definedName>
    <definedName name="NormQcmetsQcmets">rfuncsettings!$F$123</definedName>
    <definedName name="NormQcmetsSampledata">rfuncsettings!$F$116</definedName>
    <definedName name="NormQcmetsTotalCall">rfuncsettings!$B$130</definedName>
    <definedName name="NormQcsamplesCall">rfuncsettings!$B$135</definedName>
    <definedName name="NormQcsamplesdata">rfuncsettings!$I$137</definedName>
    <definedName name="NormQcsamplesDeg">rfuncsettings!$F$140</definedName>
    <definedName name="NormQcsamplesExpEnd">rfuncsettings!$B$142</definedName>
    <definedName name="NormQcsamplesExpStart">rfuncsettings!$B$136</definedName>
    <definedName name="NormQcsamplesMethod">rfuncsettings!$F$138</definedName>
    <definedName name="NormQcsamplesOutputName">rfuncsettings!$F$142</definedName>
    <definedName name="NormQcsamplesRunData">rfuncsettings!$F$137</definedName>
    <definedName name="NormQcsamplesSapn">rfuncsettings!$F$139</definedName>
    <definedName name="NormQcsamplesSpan">rfuncsettings!$F$139</definedName>
    <definedName name="NormQcsamplesTotalCall">rfuncsettings!$B$143</definedName>
    <definedName name="NormScalingCall">rfuncsettings!$B$148</definedName>
    <definedName name="NormScalingExpEnd">rfuncsettings!$B$153</definedName>
    <definedName name="NormScalingExpStart">rfuncsettings!$B$149</definedName>
    <definedName name="NormScalingMethod">rfuncsettings!$F$150</definedName>
    <definedName name="NormScalingRefVec">rfuncsettings!$F$151</definedName>
    <definedName name="NormScalingRefVecCall">rfuncsettings!$J$151</definedName>
    <definedName name="NormScalingTotalCall">rfuncsettings!$B$154</definedName>
    <definedName name="PcaFeatName">rfuncsettings!$F$55</definedName>
    <definedName name="PcaGroupData">rfuncsettings!$F$56</definedName>
    <definedName name="PcaN">rfuncsettings!$F$69</definedName>
    <definedName name="PcaPlotName">rfuncsettings!$F$59</definedName>
    <definedName name="PcaPlotsCall">rfuncsettings!$B$54</definedName>
    <definedName name="PcaPlotsExpEnd">rfuncsettings!$B$69</definedName>
    <definedName name="PcaPlotsExpStart">rfuncsettings!$B$55</definedName>
    <definedName name="PcaPlotsTotalCall">rfuncsettings!$B$70</definedName>
    <definedName name="PcaXAxis">rfuncsettings!$F$63</definedName>
    <definedName name="PcaYAxis">rfuncsettings!$F$62</definedName>
    <definedName name="QcmetsFeatName">rfuncsettings!$F$115</definedName>
    <definedName name="QcmetsMethodEnd">rfuncsettings!$O$117</definedName>
    <definedName name="QcmetsMethodStart">rfuncsettings!$J$117</definedName>
    <definedName name="QcsamplesFeatName">rfuncsettings!$F$136</definedName>
    <definedName name="RfolderLoc">settings!$D$36</definedName>
    <definedName name="RlaFeatName">rfuncsettings!$F$33</definedName>
    <definedName name="RlaGroupData">rfuncsettings!$F$34</definedName>
    <definedName name="RlaPlotName">rfuncsettings!$F$37</definedName>
    <definedName name="RlaPlotsCall">rfuncsettings!$B$32</definedName>
    <definedName name="RlaPlotsExpEnd">rfuncsettings!$B$48</definedName>
    <definedName name="RlaPlotsExpStart">rfuncsettings!$B$33</definedName>
    <definedName name="RlaPlotsTotalCall">rfuncsettings!$B$49</definedName>
    <definedName name="RlaType">rfuncsettings!$F$36</definedName>
    <definedName name="rTempDir">rfuncsettings!$P$9</definedName>
    <definedName name="rWorkingDir">rfuncsettings!$P$2</definedName>
    <definedName name="sampleCutoff">rfuncsettings!$F$8</definedName>
    <definedName name="ScalingFeatName">rfuncsettings!$F$149</definedName>
    <definedName name="ScalingMethodEnd">rfuncsettings!$M$150</definedName>
    <definedName name="ScalingMethodStart">rfuncsettings!$J$150</definedName>
    <definedName name="SvmFitAccuracyCall">rfuncsettings!$B$273</definedName>
    <definedName name="SvmFitAccuracyCost">rfuncsettings!$F$277</definedName>
    <definedName name="SvmFitAccuracyCrossvalid">rfuncsettings!$F$279</definedName>
    <definedName name="SvmFitAccuracyExpEnd">rfuncsettings!$B$287</definedName>
    <definedName name="SvmFitAccuracyExpStart">rfuncsettings!$B$274</definedName>
    <definedName name="SvmFitAccuracyFeatName">rfuncsettings!$F$274</definedName>
    <definedName name="SvmFitAccuracyGamma">rfuncsettings!$F$278</definedName>
    <definedName name="SvmFitAccuracyGroupdata">rfuncsettings!$F$275</definedName>
    <definedName name="SvmFitAccuracyK">rfuncsettings!$F$280</definedName>
    <definedName name="SvmFitAccuracyOutName">rfuncsettings!$F$287</definedName>
    <definedName name="SvmFitAccuracyPGroupdata">rfuncsettings!$F$284</definedName>
    <definedName name="SvmFitAccuracyTotalCall">rfuncsettings!$B$288</definedName>
    <definedName name="SvmFitAccuracyTune">rfuncsettings!$F$281</definedName>
    <definedName name="tempDir">rfuncsettings!$P$5</definedName>
    <definedName name="UVRlaPlotsCall">rfuncsettings!$B$294</definedName>
    <definedName name="UVRlaPlotsExpEnd">rfuncsettings!$B$302</definedName>
    <definedName name="UVRlaPlotsExpStart">rfuncsettings!$B$295</definedName>
    <definedName name="UVRlaPlotsGroupdata">rfuncsettings!$F$296</definedName>
    <definedName name="UVRlaPlotsPlot1">rfuncsettings!$K$295</definedName>
    <definedName name="UVRlaPlotsPlot2">rfuncsettings!$L$295</definedName>
    <definedName name="UVRlaPlotsPlot3">rfuncsettings!$M$295</definedName>
    <definedName name="UVRlaPlotsPlot4">rfuncsettings!$N$295</definedName>
    <definedName name="UVRlaPlotsPlottitle">rfuncsettings!$F$300</definedName>
    <definedName name="UVRlaPlotsSaveName">rfuncsettings!$F$302</definedName>
    <definedName name="UVRlaPlotsTotalCall">rfuncsettings!$B$303</definedName>
    <definedName name="UVRlaPlotsType">rfuncsettings!$F$298</definedName>
    <definedName name="UVRlaPlotsYrange">rfuncsettings!$F$299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7" i="6" l="1"/>
  <c r="P5" i="6"/>
  <c r="P2" i="6"/>
  <c r="P9" i="6"/>
</calcChain>
</file>

<file path=xl/sharedStrings.xml><?xml version="1.0" encoding="utf-8"?>
<sst xmlns="http://schemas.openxmlformats.org/spreadsheetml/2006/main" count="722" uniqueCount="306">
  <si>
    <t>General Settings</t>
  </si>
  <si>
    <t>My Working directory:</t>
  </si>
  <si>
    <t>(where should files be saved)</t>
  </si>
  <si>
    <t>R program location</t>
  </si>
  <si>
    <t>Missing Values</t>
  </si>
  <si>
    <t>feature.cutoff</t>
  </si>
  <si>
    <t>sample.cutoff</t>
  </si>
  <si>
    <t>featuredata</t>
  </si>
  <si>
    <t>sampledata</t>
  </si>
  <si>
    <t>metabolitedata</t>
  </si>
  <si>
    <t>method</t>
  </si>
  <si>
    <t>k</t>
  </si>
  <si>
    <t>featuremax.knn</t>
  </si>
  <si>
    <t>samplemax.knn</t>
  </si>
  <si>
    <t>seed</t>
  </si>
  <si>
    <t>saveoutput</t>
  </si>
  <si>
    <t>outputname</t>
  </si>
  <si>
    <t>default Val</t>
  </si>
  <si>
    <t>possible values</t>
  </si>
  <si>
    <t>current val</t>
  </si>
  <si>
    <t>to</t>
  </si>
  <si>
    <t>Integer</t>
  </si>
  <si>
    <t>Expression</t>
  </si>
  <si>
    <t>featuredata_c</t>
  </si>
  <si>
    <t>sampledata_c</t>
  </si>
  <si>
    <t>metabolitedata_c</t>
  </si>
  <si>
    <t>MissingValues</t>
  </si>
  <si>
    <t>Function call</t>
  </si>
  <si>
    <t>Total Function str</t>
  </si>
  <si>
    <t>(as need to change /)</t>
  </si>
  <si>
    <t xml:space="preserve">R Working Dir : </t>
  </si>
  <si>
    <t>History Dir:</t>
  </si>
  <si>
    <t>R Temp Dir:</t>
  </si>
  <si>
    <t>Immediate Window Expressions:</t>
  </si>
  <si>
    <t>"knn"</t>
  </si>
  <si>
    <t>"nomissing"</t>
  </si>
  <si>
    <t>T</t>
  </si>
  <si>
    <t>Import Data:</t>
  </si>
  <si>
    <t>Visualise Data:</t>
  </si>
  <si>
    <t>Normalise Data:</t>
  </si>
  <si>
    <t>"replace"</t>
  </si>
  <si>
    <t>Remove Missing Values</t>
  </si>
  <si>
    <t>Log Transform</t>
  </si>
  <si>
    <t>LogTransform</t>
  </si>
  <si>
    <t>exp(1)</t>
  </si>
  <si>
    <t>base</t>
  </si>
  <si>
    <t>"featuredata_log"</t>
  </si>
  <si>
    <t>Fucntion call</t>
  </si>
  <si>
    <t>Generate Rla Plots</t>
  </si>
  <si>
    <t>RlaPlots</t>
  </si>
  <si>
    <t>groupdata</t>
  </si>
  <si>
    <t>minoutlier</t>
  </si>
  <si>
    <t>type</t>
  </si>
  <si>
    <t>"wg"</t>
  </si>
  <si>
    <t>"ag"</t>
  </si>
  <si>
    <t>saveplot</t>
  </si>
  <si>
    <t>savetype</t>
  </si>
  <si>
    <t>interactiveplot</t>
  </si>
  <si>
    <t>interactiveonly</t>
  </si>
  <si>
    <t>saveinteractiveplot</t>
  </si>
  <si>
    <t>interactivesavename</t>
  </si>
  <si>
    <t>cols</t>
  </si>
  <si>
    <t>cex.axis</t>
  </si>
  <si>
    <t>las</t>
  </si>
  <si>
    <t>ylim</t>
  </si>
  <si>
    <t>oma</t>
  </si>
  <si>
    <t>plotname</t>
  </si>
  <si>
    <t>"RLA Plot"</t>
  </si>
  <si>
    <t>NULL</t>
  </si>
  <si>
    <t>c(-2,2)</t>
  </si>
  <si>
    <t>c(7,4,4,2) + 0.1</t>
  </si>
  <si>
    <t>"InteractiveRlaPlot"</t>
  </si>
  <si>
    <t>"pdf"</t>
  </si>
  <si>
    <t>Generate Pca Plots</t>
  </si>
  <si>
    <t>PcaPlots</t>
  </si>
  <si>
    <t>interactiveplots</t>
  </si>
  <si>
    <t>y.axis</t>
  </si>
  <si>
    <t>x.axis</t>
  </si>
  <si>
    <t>center</t>
  </si>
  <si>
    <t>scale</t>
  </si>
  <si>
    <t>main</t>
  </si>
  <si>
    <t>varplot</t>
  </si>
  <si>
    <t>"png"</t>
  </si>
  <si>
    <t>n</t>
  </si>
  <si>
    <t>sampledata_c[ ]</t>
  </si>
  <si>
    <t>"Met"</t>
  </si>
  <si>
    <t>multiplot</t>
  </si>
  <si>
    <t>sampledata_c[,"gender"]</t>
  </si>
  <si>
    <t>Generate Dendrogram</t>
  </si>
  <si>
    <t>Dendrogram</t>
  </si>
  <si>
    <t>distmethod</t>
  </si>
  <si>
    <t>aggmethod</t>
  </si>
  <si>
    <t>cex</t>
  </si>
  <si>
    <t>sampledata_c[,3]</t>
  </si>
  <si>
    <t>"Dendrogram"</t>
  </si>
  <si>
    <t>"manhattan"</t>
  </si>
  <si>
    <t>"euclidean"</t>
  </si>
  <si>
    <t>"maximum"</t>
  </si>
  <si>
    <t>"manhatten"</t>
  </si>
  <si>
    <t>"canberra"</t>
  </si>
  <si>
    <t>"binary"</t>
  </si>
  <si>
    <t>"minkowski"</t>
  </si>
  <si>
    <t>"ward.D"</t>
  </si>
  <si>
    <t>"ward"</t>
  </si>
  <si>
    <t>"single"</t>
  </si>
  <si>
    <t>"complete"</t>
  </si>
  <si>
    <t>"average"</t>
  </si>
  <si>
    <t>"mcquitty"</t>
  </si>
  <si>
    <t>"median"</t>
  </si>
  <si>
    <t>"centroid"</t>
  </si>
  <si>
    <t>"dendrogram"</t>
  </si>
  <si>
    <t>The plot title</t>
  </si>
  <si>
    <t>text magnification</t>
  </si>
  <si>
    <t>Generate HeatMap</t>
  </si>
  <si>
    <t>HeatMap</t>
  </si>
  <si>
    <t>colramp</t>
  </si>
  <si>
    <t>dendrogram</t>
  </si>
  <si>
    <t>margins</t>
  </si>
  <si>
    <t>key</t>
  </si>
  <si>
    <t>keysize</t>
  </si>
  <si>
    <t>cexRow</t>
  </si>
  <si>
    <t>ColSideColors</t>
  </si>
  <si>
    <t>"row"</t>
  </si>
  <si>
    <t>"column"</t>
  </si>
  <si>
    <t>"none"</t>
  </si>
  <si>
    <t>"both"</t>
  </si>
  <si>
    <t>c(5, 5)</t>
  </si>
  <si>
    <t>Total Funciton str</t>
  </si>
  <si>
    <t>"heatmap"</t>
  </si>
  <si>
    <t>NormQcmets</t>
  </si>
  <si>
    <t>factors</t>
  </si>
  <si>
    <t>isvec</t>
  </si>
  <si>
    <t>ncomp</t>
  </si>
  <si>
    <t>plotk</t>
  </si>
  <si>
    <t>lambda</t>
  </si>
  <si>
    <t>qcmets</t>
  </si>
  <si>
    <t>nUpdate</t>
  </si>
  <si>
    <t>lambdaUpdate</t>
  </si>
  <si>
    <t>p</t>
  </si>
  <si>
    <t>"is"</t>
  </si>
  <si>
    <t>"nomis"</t>
  </si>
  <si>
    <t>"ccmn"</t>
  </si>
  <si>
    <t>"ruv2"</t>
  </si>
  <si>
    <t>"ruvrand"</t>
  </si>
  <si>
    <t>"ruvrandclust"</t>
  </si>
  <si>
    <t>F</t>
  </si>
  <si>
    <t>which(metabolitedata_c[,1]=="IS")</t>
  </si>
  <si>
    <t>maxIter</t>
  </si>
  <si>
    <t>NormQcsamples</t>
  </si>
  <si>
    <t>span</t>
  </si>
  <si>
    <t>deg</t>
  </si>
  <si>
    <t>"rlsc"</t>
  </si>
  <si>
    <t>rundata_c</t>
  </si>
  <si>
    <t>NormScaling</t>
  </si>
  <si>
    <t>refvec</t>
  </si>
  <si>
    <t>"mean"</t>
  </si>
  <si>
    <t>"sum"</t>
  </si>
  <si>
    <t>"ref"</t>
  </si>
  <si>
    <t>featuredata_c[,which(metabolitedata_c[,1]=="IS")[1]]</t>
  </si>
  <si>
    <t>NormCombined</t>
  </si>
  <si>
    <t>c(75,low="magenta",high="green")</t>
  </si>
  <si>
    <t>No option given for now!</t>
  </si>
  <si>
    <t>featuredata_c[,which(metabolitedata_c[,1]=="IS")[</t>
  </si>
  <si>
    <t>norm1</t>
  </si>
  <si>
    <t>norm2</t>
  </si>
  <si>
    <t>norm3</t>
  </si>
  <si>
    <t>norm4</t>
  </si>
  <si>
    <t>Method:</t>
  </si>
  <si>
    <t>Empty?</t>
  </si>
  <si>
    <t>Current Normalisation sheets for input</t>
  </si>
  <si>
    <t>Current Normalisation sheets for Plots/LM</t>
  </si>
  <si>
    <t>Current Featdata Source</t>
  </si>
  <si>
    <t>LinearModelFit</t>
  </si>
  <si>
    <t>Function Call</t>
  </si>
  <si>
    <t>factormat</t>
  </si>
  <si>
    <t>contrastmat</t>
  </si>
  <si>
    <t>ruv2</t>
  </si>
  <si>
    <t>moderated</t>
  </si>
  <si>
    <t>padjmeth</t>
  </si>
  <si>
    <t>ci_alpha</t>
  </si>
  <si>
    <t>model.matrix(~</t>
  </si>
  <si>
    <t>,sampledata_c)</t>
  </si>
  <si>
    <t>"bonferroni"</t>
  </si>
  <si>
    <t>"holm"</t>
  </si>
  <si>
    <t>"hochberg"</t>
  </si>
  <si>
    <t>"hommel"</t>
  </si>
  <si>
    <t>"BH"</t>
  </si>
  <si>
    <t>"BY"</t>
  </si>
  <si>
    <t>"results"</t>
  </si>
  <si>
    <t>Clustering</t>
  </si>
  <si>
    <t>Lmdata Empty?</t>
  </si>
  <si>
    <t>CompareVolcanoPlots</t>
  </si>
  <si>
    <t>lcoef</t>
  </si>
  <si>
    <t>lpvals</t>
  </si>
  <si>
    <t>normmeth</t>
  </si>
  <si>
    <t>plimit</t>
  </si>
  <si>
    <t>coeflimit</t>
  </si>
  <si>
    <t>yrange</t>
  </si>
  <si>
    <t>negcontrol</t>
  </si>
  <si>
    <t>poscontrol</t>
  </si>
  <si>
    <t>xlab</t>
  </si>
  <si>
    <t>ylab</t>
  </si>
  <si>
    <t>labelunderlim</t>
  </si>
  <si>
    <t>labelsig</t>
  </si>
  <si>
    <t>interactiveplotname</t>
  </si>
  <si>
    <t>Total function string</t>
  </si>
  <si>
    <t>"Coefficients"</t>
  </si>
  <si>
    <t>"-log(p-value)"</t>
  </si>
  <si>
    <t>"interactiveVolcanoPlot"</t>
  </si>
  <si>
    <t>plot1source</t>
  </si>
  <si>
    <t>plot2source</t>
  </si>
  <si>
    <t>plot3source</t>
  </si>
  <si>
    <t>plot4source</t>
  </si>
  <si>
    <t>Range:</t>
  </si>
  <si>
    <t>norm2LM factors</t>
  </si>
  <si>
    <t xml:space="preserve">norm1LM factors </t>
  </si>
  <si>
    <t>nrom3LM factors</t>
  </si>
  <si>
    <t xml:space="preserve">norm4LM factors </t>
  </si>
  <si>
    <t>num of factors</t>
  </si>
  <si>
    <t>include intercept</t>
  </si>
  <si>
    <t>Current formula:</t>
  </si>
  <si>
    <t>intercept?:</t>
  </si>
  <si>
    <t>Current factor for plots:</t>
  </si>
  <si>
    <t>selected coef:</t>
  </si>
  <si>
    <t>CompareRlaPlots</t>
  </si>
  <si>
    <t>lfeaturedata</t>
  </si>
  <si>
    <t>plottitle</t>
  </si>
  <si>
    <t>"RLA plots Comparison"</t>
  </si>
  <si>
    <t>"RlaPlotsComp"</t>
  </si>
  <si>
    <t>ComparePvalHist</t>
  </si>
  <si>
    <t>xlim</t>
  </si>
  <si>
    <t>col</t>
  </si>
  <si>
    <t>"P-Values"</t>
  </si>
  <si>
    <t>"Frequency"</t>
  </si>
  <si>
    <t>c(0,1)</t>
  </si>
  <si>
    <t>"grey"</t>
  </si>
  <si>
    <t>"PvalHistComp"</t>
  </si>
  <si>
    <t>Generate Venn Plot</t>
  </si>
  <si>
    <t>VennPlot</t>
  </si>
  <si>
    <t>lnames</t>
  </si>
  <si>
    <t>group.labels</t>
  </si>
  <si>
    <t>cexval</t>
  </si>
  <si>
    <t>asp</t>
  </si>
  <si>
    <t>"VennPlot"</t>
  </si>
  <si>
    <t>"Venn Diagram"</t>
  </si>
  <si>
    <t>select coef:</t>
  </si>
  <si>
    <t xml:space="preserve">set p-val cutoff </t>
  </si>
  <si>
    <t>set coef cutoff</t>
  </si>
  <si>
    <t>CompareCorrHist</t>
  </si>
  <si>
    <t>lcorr</t>
  </si>
  <si>
    <t>myXlab</t>
  </si>
  <si>
    <t>myXlim</t>
  </si>
  <si>
    <t>Inlude Corr P-Value?</t>
  </si>
  <si>
    <t>c(0,100)</t>
  </si>
  <si>
    <t>myYlim</t>
  </si>
  <si>
    <t>regXlab:</t>
  </si>
  <si>
    <t>regYlim:</t>
  </si>
  <si>
    <t>regXlim:</t>
  </si>
  <si>
    <t>pXlab:</t>
  </si>
  <si>
    <t>"Correlation coefficients"</t>
  </si>
  <si>
    <t>pYlim:</t>
  </si>
  <si>
    <t>pXlim:</t>
  </si>
  <si>
    <t>c(-1,1)</t>
  </si>
  <si>
    <t>regName:</t>
  </si>
  <si>
    <t>pName:</t>
  </si>
  <si>
    <t>myPlotName</t>
  </si>
  <si>
    <t>"CompareCorrHist"</t>
  </si>
  <si>
    <t>"CompareCorrPvalHist"</t>
  </si>
  <si>
    <t>SvmFit</t>
  </si>
  <si>
    <t>SvmFitAccuracy</t>
  </si>
  <si>
    <t>Function Call:</t>
  </si>
  <si>
    <t>kernel</t>
  </si>
  <si>
    <t>cost</t>
  </si>
  <si>
    <t>gamma</t>
  </si>
  <si>
    <t>crossvalid</t>
  </si>
  <si>
    <t>tune</t>
  </si>
  <si>
    <t>pred</t>
  </si>
  <si>
    <t>pfeaturedata</t>
  </si>
  <si>
    <t>pgroupdata</t>
  </si>
  <si>
    <t>rocplot</t>
  </si>
  <si>
    <t>outname</t>
  </si>
  <si>
    <t>Total function Call:</t>
  </si>
  <si>
    <t>"radial"</t>
  </si>
  <si>
    <t>"SvmFitAccuracy"</t>
  </si>
  <si>
    <t>UVRlaPlots</t>
  </si>
  <si>
    <t>"UV Rla plots"</t>
  </si>
  <si>
    <t>plot3 - Empty</t>
  </si>
  <si>
    <t>plot4 - Empty</t>
  </si>
  <si>
    <t>sampledata_c[,c("batch","Class","runord")]</t>
  </si>
  <si>
    <t>Method1</t>
  </si>
  <si>
    <t>Method2</t>
  </si>
  <si>
    <t>Name</t>
  </si>
  <si>
    <t>Location</t>
  </si>
  <si>
    <t>ComparePcaPlots</t>
  </si>
  <si>
    <t>lgroupdata</t>
  </si>
  <si>
    <t>lmain</t>
  </si>
  <si>
    <t>cex_val</t>
  </si>
  <si>
    <t>factor To use:</t>
  </si>
  <si>
    <t>"PCA"</t>
  </si>
  <si>
    <t>ruvrandclust</t>
  </si>
  <si>
    <t>Temp Dir (as normal for now):</t>
  </si>
  <si>
    <t>Not Active</t>
  </si>
  <si>
    <t>featuredata.nomissing</t>
  </si>
  <si>
    <t>zerotona</t>
  </si>
  <si>
    <t>Method Compatibale with missing vals:</t>
  </si>
  <si>
    <t>My Rscript Locaction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</si>
</sst>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0" borderId="0" xfId="0" applyFont="1" applyFill="1"/>
    <xf numFmtId="0" fontId="5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0" fillId="0" borderId="0" xfId="0" applyFont="1" applyAlignment="1">
      <alignment wrapText="1"/>
    </xf>
    <xf numFmtId="0" fontId="8" fillId="0" borderId="0" xfId="0" applyFont="1"/>
    <xf numFmtId="0" fontId="9" fillId="0" borderId="0" xfId="0" applyFont="1"/>
    <xf numFmtId="0" fontId="0" fillId="0" borderId="0" xfId="0" applyFont="1" applyFill="1"/>
    <xf numFmtId="0" fontId="5" fillId="4" borderId="0" xfId="0" applyFont="1" applyFill="1"/>
    <xf numFmtId="0" fontId="0" fillId="0" borderId="0" xfId="0" applyFill="1" applyAlignme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C0000"/>
      <color rgb="FFE29408"/>
      <color rgb="FFD6A300"/>
      <color rgb="FFB871FF"/>
      <color rgb="FFAB57FF"/>
      <color rgb="FF9933FF"/>
      <color rgb="FFC3733D"/>
      <color rgb="FF898C74"/>
      <color rgb="FFF2750E"/>
      <color rgb="FFF863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Label" fmlaTxbx="Norm1Method" lockText="1"/>
</file>

<file path=xl/ctrlProps/ctrlProp2.xml><?xml version="1.0" encoding="utf-8"?>
<formControlPr xmlns="http://schemas.microsoft.com/office/spreadsheetml/2009/9/main" objectType="Label" fmlaTxbx="Norm2Method" lockText="1"/>
</file>

<file path=xl/ctrlProps/ctrlProp3.xml><?xml version="1.0" encoding="utf-8"?>
<formControlPr xmlns="http://schemas.microsoft.com/office/spreadsheetml/2009/9/main" objectType="Label" fmlaTxbx="Norm3Method" lockText="1"/>
</file>

<file path=xl/ctrlProps/ctrlProp4.xml><?xml version="1.0" encoding="utf-8"?>
<formControlPr xmlns="http://schemas.microsoft.com/office/spreadsheetml/2009/9/main" objectType="Label" fmlaTxbx="Norm4Method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lots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189429</xdr:colOff>
      <xdr:row>0</xdr:row>
      <xdr:rowOff>169968</xdr:rowOff>
    </xdr:from>
    <xdr:to>
      <xdr:col>11</xdr:col>
      <xdr:colOff>515520</xdr:colOff>
      <xdr:row>30</xdr:row>
      <xdr:rowOff>157128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/>
        </xdr:cNvSpPr>
      </xdr:nvSpPr>
      <xdr:spPr>
        <a:xfrm>
          <a:off x="189429" y="169968"/>
          <a:ext cx="12674973" cy="5597572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163233</xdr:colOff>
      <xdr:row>15</xdr:row>
      <xdr:rowOff>143809</xdr:rowOff>
    </xdr:from>
    <xdr:to>
      <xdr:col>1</xdr:col>
      <xdr:colOff>1420533</xdr:colOff>
      <xdr:row>18</xdr:row>
      <xdr:rowOff>112060</xdr:rowOff>
    </xdr:to>
    <xdr:sp macro="[0]!ImortFea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33880" y="2952750"/>
          <a:ext cx="1257300" cy="528545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</a:t>
          </a:r>
          <a:r>
            <a:rPr lang="en-AU" sz="1100" baseline="0"/>
            <a:t> featuredata</a:t>
          </a:r>
          <a:endParaRPr lang="en-AU" sz="1100"/>
        </a:p>
      </xdr:txBody>
    </xdr:sp>
    <xdr:clientData/>
  </xdr:twoCellAnchor>
  <xdr:twoCellAnchor>
    <xdr:from>
      <xdr:col>1</xdr:col>
      <xdr:colOff>155761</xdr:colOff>
      <xdr:row>19</xdr:row>
      <xdr:rowOff>33244</xdr:rowOff>
    </xdr:from>
    <xdr:to>
      <xdr:col>1</xdr:col>
      <xdr:colOff>1406711</xdr:colOff>
      <xdr:row>21</xdr:row>
      <xdr:rowOff>181909</xdr:rowOff>
    </xdr:to>
    <xdr:sp macro="[0]!ImportSampl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26408" y="3589244"/>
          <a:ext cx="1250950" cy="522194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 sampledata</a:t>
          </a:r>
        </a:p>
      </xdr:txBody>
    </xdr:sp>
    <xdr:clientData/>
  </xdr:twoCellAnchor>
  <xdr:twoCellAnchor>
    <xdr:from>
      <xdr:col>1</xdr:col>
      <xdr:colOff>170703</xdr:colOff>
      <xdr:row>22</xdr:row>
      <xdr:rowOff>104588</xdr:rowOff>
    </xdr:from>
    <xdr:to>
      <xdr:col>1</xdr:col>
      <xdr:colOff>1421653</xdr:colOff>
      <xdr:row>25</xdr:row>
      <xdr:rowOff>57524</xdr:rowOff>
    </xdr:to>
    <xdr:sp macro="[0]!ImportMetaboli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41350" y="4220882"/>
          <a:ext cx="1250950" cy="51323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000"/>
            <a:t>Import</a:t>
          </a:r>
          <a:r>
            <a:rPr lang="en-AU" sz="1000" baseline="0"/>
            <a:t> </a:t>
          </a:r>
          <a:r>
            <a:rPr lang="en-AU" sz="1100" baseline="0"/>
            <a:t>metabolitedata</a:t>
          </a:r>
          <a:endParaRPr lang="en-AU" sz="1100"/>
        </a:p>
      </xdr:txBody>
    </xdr:sp>
    <xdr:clientData/>
  </xdr:twoCellAnchor>
  <xdr:twoCellAnchor>
    <xdr:from>
      <xdr:col>1</xdr:col>
      <xdr:colOff>169583</xdr:colOff>
      <xdr:row>8</xdr:row>
      <xdr:rowOff>122518</xdr:rowOff>
    </xdr:from>
    <xdr:to>
      <xdr:col>1</xdr:col>
      <xdr:colOff>1426883</xdr:colOff>
      <xdr:row>11</xdr:row>
      <xdr:rowOff>74706</xdr:rowOff>
    </xdr:to>
    <xdr:sp macro="[0]!SetWorkingFold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40230" y="1624106"/>
          <a:ext cx="1257300" cy="512482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Set directory</a:t>
          </a:r>
          <a:r>
            <a:rPr lang="en-AU" sz="1100" baseline="0"/>
            <a:t> for the project</a:t>
          </a:r>
          <a:endParaRPr lang="en-AU" sz="1100"/>
        </a:p>
      </xdr:txBody>
    </xdr:sp>
    <xdr:clientData/>
  </xdr:twoCellAnchor>
  <xdr:twoCellAnchor>
    <xdr:from>
      <xdr:col>1</xdr:col>
      <xdr:colOff>133350</xdr:colOff>
      <xdr:row>6</xdr:row>
      <xdr:rowOff>44450</xdr:rowOff>
    </xdr:from>
    <xdr:to>
      <xdr:col>1</xdr:col>
      <xdr:colOff>1397000</xdr:colOff>
      <xdr:row>8</xdr:row>
      <xdr:rowOff>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1130300" y="1162050"/>
          <a:ext cx="1263650" cy="323850"/>
        </a:xfrm>
        <a:prstGeom prst="roundRect">
          <a:avLst>
            <a:gd name="adj" fmla="val 0"/>
          </a:avLst>
        </a:prstGeom>
        <a:solidFill>
          <a:schemeClr val="accent3"/>
        </a:solidFill>
        <a:ln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100"/>
            <a:t>Install/Link R </a:t>
          </a:r>
        </a:p>
      </xdr:txBody>
    </xdr:sp>
    <xdr:clientData/>
  </xdr:twoCellAnchor>
  <xdr:twoCellAnchor>
    <xdr:from>
      <xdr:col>3</xdr:col>
      <xdr:colOff>152760</xdr:colOff>
      <xdr:row>5</xdr:row>
      <xdr:rowOff>156882</xdr:rowOff>
    </xdr:from>
    <xdr:to>
      <xdr:col>3</xdr:col>
      <xdr:colOff>1508611</xdr:colOff>
      <xdr:row>11</xdr:row>
      <xdr:rowOff>141942</xdr:rowOff>
    </xdr:to>
    <xdr:sp macro="[0]!RemoveMissingValues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/>
        </xdr:cNvSpPr>
      </xdr:nvSpPr>
      <xdr:spPr>
        <a:xfrm>
          <a:off x="2304289" y="1090706"/>
          <a:ext cx="1355851" cy="111311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Log Transform Data </a:t>
          </a:r>
        </a:p>
        <a:p>
          <a:pPr algn="ctr"/>
          <a:r>
            <a:rPr lang="en-AU" sz="1200">
              <a:solidFill>
                <a:schemeClr val="tx1"/>
              </a:solidFill>
            </a:rPr>
            <a:t>&amp;</a:t>
          </a:r>
          <a:r>
            <a:rPr lang="en-AU" sz="1200" baseline="0">
              <a:solidFill>
                <a:schemeClr val="tx1"/>
              </a:solidFill>
            </a:rPr>
            <a:t> </a:t>
          </a:r>
        </a:p>
        <a:p>
          <a:pPr algn="ctr"/>
          <a:r>
            <a:rPr lang="en-AU" sz="1200">
              <a:solidFill>
                <a:schemeClr val="tx1"/>
              </a:solidFill>
            </a:rPr>
            <a:t>Remove Missing Values</a:t>
          </a:r>
        </a:p>
      </xdr:txBody>
    </xdr:sp>
    <xdr:clientData/>
  </xdr:twoCellAnchor>
  <xdr:twoCellAnchor>
    <xdr:from>
      <xdr:col>3</xdr:col>
      <xdr:colOff>152760</xdr:colOff>
      <xdr:row>12</xdr:row>
      <xdr:rowOff>76200</xdr:rowOff>
    </xdr:from>
    <xdr:to>
      <xdr:col>3</xdr:col>
      <xdr:colOff>1508611</xdr:colOff>
      <xdr:row>15</xdr:row>
      <xdr:rowOff>22435</xdr:rowOff>
    </xdr:to>
    <xdr:sp macro="[0]!RlaPlots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/>
        </xdr:cNvSpPr>
      </xdr:nvSpPr>
      <xdr:spPr>
        <a:xfrm>
          <a:off x="2375260" y="2292350"/>
          <a:ext cx="1355851" cy="49868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152760</xdr:colOff>
      <xdr:row>15</xdr:row>
      <xdr:rowOff>90768</xdr:rowOff>
    </xdr:from>
    <xdr:to>
      <xdr:col>3</xdr:col>
      <xdr:colOff>1508611</xdr:colOff>
      <xdr:row>18</xdr:row>
      <xdr:rowOff>48856</xdr:rowOff>
    </xdr:to>
    <xdr:sp macro="[0]!PcaPlots_Click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/>
        </xdr:cNvSpPr>
      </xdr:nvSpPr>
      <xdr:spPr>
        <a:xfrm>
          <a:off x="2375260" y="2859368"/>
          <a:ext cx="1355851" cy="510538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157990</xdr:colOff>
      <xdr:row>18</xdr:row>
      <xdr:rowOff>126626</xdr:rowOff>
    </xdr:from>
    <xdr:to>
      <xdr:col>3</xdr:col>
      <xdr:colOff>1513841</xdr:colOff>
      <xdr:row>21</xdr:row>
      <xdr:rowOff>95385</xdr:rowOff>
    </xdr:to>
    <xdr:sp macro="[0]!Dendrogram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/>
        </xdr:cNvSpPr>
      </xdr:nvSpPr>
      <xdr:spPr>
        <a:xfrm>
          <a:off x="2380490" y="3447676"/>
          <a:ext cx="1355851" cy="52120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3</xdr:col>
      <xdr:colOff>151586</xdr:colOff>
      <xdr:row>22</xdr:row>
      <xdr:rowOff>9712</xdr:rowOff>
    </xdr:from>
    <xdr:to>
      <xdr:col>3</xdr:col>
      <xdr:colOff>1519179</xdr:colOff>
      <xdr:row>25</xdr:row>
      <xdr:rowOff>126257</xdr:rowOff>
    </xdr:to>
    <xdr:sp macro="[0]!HeatMap_Click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/>
        </xdr:cNvSpPr>
      </xdr:nvSpPr>
      <xdr:spPr>
        <a:xfrm>
          <a:off x="2374086" y="4067362"/>
          <a:ext cx="1367593" cy="66899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</a:t>
          </a:r>
          <a:r>
            <a:rPr lang="en-AU" sz="1200" baseline="0">
              <a:solidFill>
                <a:schemeClr val="tx1"/>
              </a:solidFill>
            </a:rPr>
            <a:t> Interactive</a:t>
          </a:r>
          <a:r>
            <a:rPr lang="en-AU" sz="12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4</xdr:col>
      <xdr:colOff>27756</xdr:colOff>
      <xdr:row>15</xdr:row>
      <xdr:rowOff>90714</xdr:rowOff>
    </xdr:from>
    <xdr:to>
      <xdr:col>4</xdr:col>
      <xdr:colOff>1433286</xdr:colOff>
      <xdr:row>19</xdr:row>
      <xdr:rowOff>127000</xdr:rowOff>
    </xdr:to>
    <xdr:sp macro="[0]!RlaPlotsN_Click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/>
        </xdr:cNvSpPr>
      </xdr:nvSpPr>
      <xdr:spPr>
        <a:xfrm>
          <a:off x="3973827" y="2821214"/>
          <a:ext cx="1405530" cy="762000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26700</xdr:colOff>
      <xdr:row>20</xdr:row>
      <xdr:rowOff>136072</xdr:rowOff>
    </xdr:from>
    <xdr:to>
      <xdr:col>4</xdr:col>
      <xdr:colOff>1433286</xdr:colOff>
      <xdr:row>25</xdr:row>
      <xdr:rowOff>9071</xdr:rowOff>
    </xdr:to>
    <xdr:sp macro="[0]!PcaPlotsN_Click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>
          <a:spLocks/>
        </xdr:cNvSpPr>
      </xdr:nvSpPr>
      <xdr:spPr>
        <a:xfrm>
          <a:off x="3972771" y="3773715"/>
          <a:ext cx="1406586" cy="780142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970316</xdr:colOff>
      <xdr:row>16</xdr:row>
      <xdr:rowOff>97117</xdr:rowOff>
    </xdr:from>
    <xdr:to>
      <xdr:col>8</xdr:col>
      <xdr:colOff>1431226</xdr:colOff>
      <xdr:row>20</xdr:row>
      <xdr:rowOff>139758</xdr:rowOff>
    </xdr:to>
    <xdr:sp macro="[0]!DendrogramN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>
          <a:spLocks/>
        </xdr:cNvSpPr>
      </xdr:nvSpPr>
      <xdr:spPr>
        <a:xfrm flipH="1">
          <a:off x="8844316" y="3009046"/>
          <a:ext cx="1558553" cy="768355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7</xdr:col>
      <xdr:colOff>968772</xdr:colOff>
      <xdr:row>21</xdr:row>
      <xdr:rowOff>67238</xdr:rowOff>
    </xdr:from>
    <xdr:to>
      <xdr:col>8</xdr:col>
      <xdr:colOff>1439402</xdr:colOff>
      <xdr:row>25</xdr:row>
      <xdr:rowOff>181007</xdr:rowOff>
    </xdr:to>
    <xdr:sp macro="[0]!HeatMapN_Click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/>
        </xdr:cNvSpPr>
      </xdr:nvSpPr>
      <xdr:spPr>
        <a:xfrm flipH="1">
          <a:off x="8842772" y="3886309"/>
          <a:ext cx="1568273" cy="839484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Interactive</a:t>
          </a:r>
          <a:r>
            <a:rPr lang="en-AU" sz="14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5</xdr:col>
      <xdr:colOff>208741</xdr:colOff>
      <xdr:row>5</xdr:row>
      <xdr:rowOff>108857</xdr:rowOff>
    </xdr:from>
    <xdr:to>
      <xdr:col>7</xdr:col>
      <xdr:colOff>770603</xdr:colOff>
      <xdr:row>11</xdr:row>
      <xdr:rowOff>57150</xdr:rowOff>
    </xdr:to>
    <xdr:sp macro="[0]!LinearModelFit_Click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/>
        </xdr:cNvSpPr>
      </xdr:nvSpPr>
      <xdr:spPr>
        <a:xfrm>
          <a:off x="6930670" y="1016000"/>
          <a:ext cx="1713933" cy="1045936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0">
              <a:latin typeface="+mn-lt"/>
            </a:rPr>
            <a:t>Fit Linear Model</a:t>
          </a:r>
        </a:p>
        <a:p>
          <a:pPr algn="ctr"/>
          <a:r>
            <a:rPr lang="en-AU" sz="1400" b="0">
              <a:latin typeface="+mn-lt"/>
            </a:rPr>
            <a:t>(Use</a:t>
          </a:r>
          <a:r>
            <a:rPr lang="en-AU" sz="1400" b="0" baseline="0">
              <a:latin typeface="+mn-lt"/>
            </a:rPr>
            <a:t> dircetly for ruv methods)</a:t>
          </a:r>
          <a:endParaRPr lang="en-AU" sz="1400" b="0">
            <a:latin typeface="+mn-lt"/>
          </a:endParaRPr>
        </a:p>
      </xdr:txBody>
    </xdr:sp>
    <xdr:clientData/>
  </xdr:twoCellAnchor>
  <xdr:twoCellAnchor>
    <xdr:from>
      <xdr:col>0</xdr:col>
      <xdr:colOff>535514</xdr:colOff>
      <xdr:row>26</xdr:row>
      <xdr:rowOff>74705</xdr:rowOff>
    </xdr:from>
    <xdr:to>
      <xdr:col>11</xdr:col>
      <xdr:colOff>44823</xdr:colOff>
      <xdr:row>27</xdr:row>
      <xdr:rowOff>140687</xdr:rowOff>
    </xdr:to>
    <xdr:sp macro="[0]!OpenManual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/>
        </xdr:cNvSpPr>
      </xdr:nvSpPr>
      <xdr:spPr>
        <a:xfrm>
          <a:off x="535514" y="4868955"/>
          <a:ext cx="11104409" cy="250132"/>
        </a:xfrm>
        <a:prstGeom prst="rect">
          <a:avLst/>
        </a:prstGeom>
        <a:solidFill>
          <a:srgbClr val="BC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>
              <a:solidFill>
                <a:schemeClr val="accent4">
                  <a:lumMod val="20000"/>
                  <a:lumOff val="80000"/>
                </a:schemeClr>
              </a:solidFill>
            </a:rPr>
            <a:t>Manual</a:t>
          </a:r>
          <a:r>
            <a:rPr lang="en-AU" sz="1400">
              <a:solidFill>
                <a:schemeClr val="accent4">
                  <a:lumMod val="20000"/>
                  <a:lumOff val="80000"/>
                </a:schemeClr>
              </a:solidFill>
            </a:rPr>
            <a:t> </a:t>
          </a:r>
          <a:r>
            <a:rPr lang="en-AU" sz="1100">
              <a:solidFill>
                <a:schemeClr val="accent4">
                  <a:lumMod val="20000"/>
                  <a:lumOff val="80000"/>
                </a:schemeClr>
              </a:solidFill>
            </a:rPr>
            <a:t>- For instructions and detailed explanation of methods and functions press</a:t>
          </a:r>
          <a:r>
            <a:rPr lang="en-AU" sz="1100" baseline="0">
              <a:solidFill>
                <a:schemeClr val="accent4">
                  <a:lumMod val="20000"/>
                  <a:lumOff val="80000"/>
                </a:schemeClr>
              </a:solidFill>
            </a:rPr>
            <a:t> here</a:t>
          </a:r>
          <a:endParaRPr lang="en-AU" sz="1100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5</xdr:col>
      <xdr:colOff>218352</xdr:colOff>
      <xdr:row>22</xdr:row>
      <xdr:rowOff>97117</xdr:rowOff>
    </xdr:from>
    <xdr:to>
      <xdr:col>7</xdr:col>
      <xdr:colOff>802077</xdr:colOff>
      <xdr:row>25</xdr:row>
      <xdr:rowOff>169089</xdr:rowOff>
    </xdr:to>
    <xdr:sp macro="[0]!VennPlot_Click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/>
        </xdr:cNvSpPr>
      </xdr:nvSpPr>
      <xdr:spPr>
        <a:xfrm>
          <a:off x="6940281" y="4097617"/>
          <a:ext cx="1735796" cy="616258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Venn Plot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1650998</xdr:colOff>
      <xdr:row>15</xdr:row>
      <xdr:rowOff>1</xdr:rowOff>
    </xdr:from>
    <xdr:to>
      <xdr:col>4</xdr:col>
      <xdr:colOff>2666996</xdr:colOff>
      <xdr:row>25</xdr:row>
      <xdr:rowOff>136073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pSpPr/>
      </xdr:nvGrpSpPr>
      <xdr:grpSpPr>
        <a:xfrm>
          <a:off x="5587998" y="2808942"/>
          <a:ext cx="1015998" cy="2003719"/>
          <a:chOff x="5056521" y="2555393"/>
          <a:chExt cx="820456" cy="1979713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5056521" y="2555393"/>
            <a:ext cx="806824" cy="1979713"/>
          </a:xfrm>
          <a:prstGeom prst="roundRect">
            <a:avLst/>
          </a:prstGeom>
          <a:solidFill>
            <a:schemeClr val="bg1"/>
          </a:solidFill>
          <a:ln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OptionButton1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900-000003080000}"/>
                  </a:ext>
                </a:extLst>
              </xdr:cNvPr>
              <xdr:cNvSpPr/>
            </xdr:nvSpPr>
            <xdr:spPr bwMode="auto">
              <a:xfrm>
                <a:off x="5135028" y="2673727"/>
                <a:ext cx="697390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OptionButton2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900-000004080000}"/>
                  </a:ext>
                </a:extLst>
              </xdr:cNvPr>
              <xdr:cNvSpPr/>
            </xdr:nvSpPr>
            <xdr:spPr bwMode="auto">
              <a:xfrm>
                <a:off x="5119965" y="3106699"/>
                <a:ext cx="69739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OptionButton3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900-000005080000}"/>
                  </a:ext>
                </a:extLst>
              </xdr:cNvPr>
              <xdr:cNvSpPr/>
            </xdr:nvSpPr>
            <xdr:spPr bwMode="auto">
              <a:xfrm>
                <a:off x="5132937" y="3574450"/>
                <a:ext cx="687135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OptionButton4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900-000006080000}"/>
                  </a:ext>
                </a:extLst>
              </xdr:cNvPr>
              <xdr:cNvSpPr/>
            </xdr:nvSpPr>
            <xdr:spPr bwMode="auto">
              <a:xfrm>
                <a:off x="5129856" y="3975807"/>
                <a:ext cx="697390" cy="3047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6" name="Label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900-000008080000}"/>
                  </a:ext>
                </a:extLst>
              </xdr:cNvPr>
              <xdr:cNvSpPr/>
            </xdr:nvSpPr>
            <xdr:spPr bwMode="auto">
              <a:xfrm>
                <a:off x="5129784" y="2893927"/>
                <a:ext cx="698932" cy="25933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7" name="Label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900-000009080000}"/>
                  </a:ext>
                </a:extLst>
              </xdr:cNvPr>
              <xdr:cNvSpPr/>
            </xdr:nvSpPr>
            <xdr:spPr bwMode="auto">
              <a:xfrm>
                <a:off x="5114292" y="3381398"/>
                <a:ext cx="708395" cy="1999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8" name="Label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900-00000A080000}"/>
                  </a:ext>
                </a:extLst>
              </xdr:cNvPr>
              <xdr:cNvSpPr/>
            </xdr:nvSpPr>
            <xdr:spPr bwMode="auto">
              <a:xfrm>
                <a:off x="5128926" y="3827975"/>
                <a:ext cx="748051" cy="218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9" name="Label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900-00000B080000}"/>
                  </a:ext>
                </a:extLst>
              </xdr:cNvPr>
              <xdr:cNvSpPr/>
            </xdr:nvSpPr>
            <xdr:spPr bwMode="auto">
              <a:xfrm>
                <a:off x="5110816" y="4245661"/>
                <a:ext cx="681704" cy="17714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218355</xdr:colOff>
      <xdr:row>18</xdr:row>
      <xdr:rowOff>143995</xdr:rowOff>
    </xdr:from>
    <xdr:to>
      <xdr:col>7</xdr:col>
      <xdr:colOff>802079</xdr:colOff>
      <xdr:row>22</xdr:row>
      <xdr:rowOff>39444</xdr:rowOff>
    </xdr:to>
    <xdr:sp macro="[0]!ComparePvalHist_Click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/>
        </xdr:cNvSpPr>
      </xdr:nvSpPr>
      <xdr:spPr>
        <a:xfrm>
          <a:off x="6940284" y="3418781"/>
          <a:ext cx="1735795" cy="62116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P-Value</a:t>
          </a:r>
          <a:r>
            <a:rPr lang="en-AU" sz="1400" baseline="0">
              <a:solidFill>
                <a:schemeClr val="tx1"/>
              </a:solidFill>
            </a:rPr>
            <a:t> Histograms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218392</xdr:colOff>
      <xdr:row>15</xdr:row>
      <xdr:rowOff>22408</xdr:rowOff>
    </xdr:from>
    <xdr:to>
      <xdr:col>7</xdr:col>
      <xdr:colOff>794018</xdr:colOff>
      <xdr:row>18</xdr:row>
      <xdr:rowOff>86005</xdr:rowOff>
    </xdr:to>
    <xdr:sp macro="[0]!CompareRlaPlots_Click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/>
        </xdr:cNvSpPr>
      </xdr:nvSpPr>
      <xdr:spPr>
        <a:xfrm>
          <a:off x="6940321" y="2752908"/>
          <a:ext cx="1727697" cy="60788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RLA Plots</a:t>
          </a:r>
        </a:p>
      </xdr:txBody>
    </xdr:sp>
    <xdr:clientData/>
  </xdr:twoCellAnchor>
  <xdr:twoCellAnchor>
    <xdr:from>
      <xdr:col>5</xdr:col>
      <xdr:colOff>218426</xdr:colOff>
      <xdr:row>11</xdr:row>
      <xdr:rowOff>121768</xdr:rowOff>
    </xdr:from>
    <xdr:to>
      <xdr:col>7</xdr:col>
      <xdr:colOff>785955</xdr:colOff>
      <xdr:row>14</xdr:row>
      <xdr:rowOff>153753</xdr:rowOff>
    </xdr:to>
    <xdr:sp macro="[0]!CompareVolcanoPlots_Click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/>
        </xdr:cNvSpPr>
      </xdr:nvSpPr>
      <xdr:spPr>
        <a:xfrm>
          <a:off x="6940355" y="2126554"/>
          <a:ext cx="1719600" cy="576270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Volcano Plots</a:t>
          </a:r>
        </a:p>
      </xdr:txBody>
    </xdr:sp>
    <xdr:clientData/>
  </xdr:twoCellAnchor>
  <xdr:twoCellAnchor>
    <xdr:from>
      <xdr:col>7</xdr:col>
      <xdr:colOff>975124</xdr:colOff>
      <xdr:row>10</xdr:row>
      <xdr:rowOff>164352</xdr:rowOff>
    </xdr:from>
    <xdr:to>
      <xdr:col>8</xdr:col>
      <xdr:colOff>1446965</xdr:colOff>
      <xdr:row>15</xdr:row>
      <xdr:rowOff>59595</xdr:rowOff>
    </xdr:to>
    <xdr:sp macro="[0]!ComparePcaPlots_Click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/>
        </xdr:cNvSpPr>
      </xdr:nvSpPr>
      <xdr:spPr>
        <a:xfrm>
          <a:off x="8849124" y="1987709"/>
          <a:ext cx="1569484" cy="802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PCA Plots</a:t>
          </a:r>
        </a:p>
      </xdr:txBody>
    </xdr:sp>
    <xdr:clientData/>
  </xdr:twoCellAnchor>
  <xdr:twoCellAnchor>
    <xdr:from>
      <xdr:col>7</xdr:col>
      <xdr:colOff>979253</xdr:colOff>
      <xdr:row>6</xdr:row>
      <xdr:rowOff>1</xdr:rowOff>
    </xdr:from>
    <xdr:to>
      <xdr:col>8</xdr:col>
      <xdr:colOff>1446640</xdr:colOff>
      <xdr:row>10</xdr:row>
      <xdr:rowOff>82160</xdr:rowOff>
    </xdr:to>
    <xdr:sp macro="[0]!UVRlaPlots_Click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/>
        </xdr:cNvSpPr>
      </xdr:nvSpPr>
      <xdr:spPr>
        <a:xfrm>
          <a:off x="8853253" y="1097644"/>
          <a:ext cx="1565030" cy="80787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UV RLA Plots</a:t>
          </a:r>
        </a:p>
      </xdr:txBody>
    </xdr:sp>
    <xdr:clientData/>
  </xdr:twoCellAnchor>
  <xdr:twoCellAnchor>
    <xdr:from>
      <xdr:col>8</xdr:col>
      <xdr:colOff>1728876</xdr:colOff>
      <xdr:row>10</xdr:row>
      <xdr:rowOff>44824</xdr:rowOff>
    </xdr:from>
    <xdr:to>
      <xdr:col>10</xdr:col>
      <xdr:colOff>537009</xdr:colOff>
      <xdr:row>13</xdr:row>
      <xdr:rowOff>84710</xdr:rowOff>
    </xdr:to>
    <xdr:sp macro="[0]!SvmFitAccuracy_Click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/>
        </xdr:cNvSpPr>
      </xdr:nvSpPr>
      <xdr:spPr>
        <a:xfrm>
          <a:off x="10700519" y="1868181"/>
          <a:ext cx="1574919" cy="584172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SVM Fit Classifier</a:t>
          </a:r>
        </a:p>
      </xdr:txBody>
    </xdr:sp>
    <xdr:clientData/>
  </xdr:twoCellAnchor>
  <xdr:twoCellAnchor>
    <xdr:from>
      <xdr:col>8</xdr:col>
      <xdr:colOff>1728989</xdr:colOff>
      <xdr:row>19</xdr:row>
      <xdr:rowOff>67236</xdr:rowOff>
    </xdr:from>
    <xdr:to>
      <xdr:col>10</xdr:col>
      <xdr:colOff>512022</xdr:colOff>
      <xdr:row>23</xdr:row>
      <xdr:rowOff>33615</xdr:rowOff>
    </xdr:to>
    <xdr:sp macro="[0]!CompareCorrHist_Click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/>
        </xdr:cNvSpPr>
      </xdr:nvSpPr>
      <xdr:spPr>
        <a:xfrm>
          <a:off x="10700632" y="3523450"/>
          <a:ext cx="1549819" cy="692094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Compare Correlation Coefficients Histogram</a:t>
          </a:r>
        </a:p>
      </xdr:txBody>
    </xdr:sp>
    <xdr:clientData/>
  </xdr:twoCellAnchor>
  <xdr:twoCellAnchor>
    <xdr:from>
      <xdr:col>1</xdr:col>
      <xdr:colOff>29882</xdr:colOff>
      <xdr:row>2</xdr:row>
      <xdr:rowOff>14940</xdr:rowOff>
    </xdr:from>
    <xdr:to>
      <xdr:col>1</xdr:col>
      <xdr:colOff>1606177</xdr:colOff>
      <xdr:row>4</xdr:row>
      <xdr:rowOff>179293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1023470" y="388469"/>
          <a:ext cx="1576295" cy="537883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82785</xdr:colOff>
      <xdr:row>2</xdr:row>
      <xdr:rowOff>14941</xdr:rowOff>
    </xdr:from>
    <xdr:to>
      <xdr:col>3</xdr:col>
      <xdr:colOff>1632857</xdr:colOff>
      <xdr:row>5</xdr:row>
      <xdr:rowOff>25981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/>
        </xdr:cNvSpPr>
      </xdr:nvSpPr>
      <xdr:spPr>
        <a:xfrm>
          <a:off x="2241785" y="377798"/>
          <a:ext cx="1550072" cy="555326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Visualize the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1678213</xdr:colOff>
      <xdr:row>2</xdr:row>
      <xdr:rowOff>7471</xdr:rowOff>
    </xdr:from>
    <xdr:to>
      <xdr:col>5</xdr:col>
      <xdr:colOff>104587</xdr:colOff>
      <xdr:row>5</xdr:row>
      <xdr:rowOff>26413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/>
        </xdr:cNvSpPr>
      </xdr:nvSpPr>
      <xdr:spPr>
        <a:xfrm>
          <a:off x="3829742" y="381000"/>
          <a:ext cx="2983433" cy="57923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Normalize</a:t>
          </a:r>
        </a:p>
      </xdr:txBody>
    </xdr:sp>
    <xdr:clientData/>
  </xdr:twoCellAnchor>
  <xdr:twoCellAnchor>
    <xdr:from>
      <xdr:col>5</xdr:col>
      <xdr:colOff>148342</xdr:colOff>
      <xdr:row>2</xdr:row>
      <xdr:rowOff>14941</xdr:rowOff>
    </xdr:from>
    <xdr:to>
      <xdr:col>7</xdr:col>
      <xdr:colOff>844303</xdr:colOff>
      <xdr:row>5</xdr:row>
      <xdr:rowOff>31116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/>
        </xdr:cNvSpPr>
      </xdr:nvSpPr>
      <xdr:spPr>
        <a:xfrm>
          <a:off x="6856930" y="388470"/>
          <a:ext cx="1853902" cy="57647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Identify Biomarkers</a:t>
          </a:r>
        </a:p>
      </xdr:txBody>
    </xdr:sp>
    <xdr:clientData/>
  </xdr:twoCellAnchor>
  <xdr:twoCellAnchor>
    <xdr:from>
      <xdr:col>7</xdr:col>
      <xdr:colOff>876074</xdr:colOff>
      <xdr:row>2</xdr:row>
      <xdr:rowOff>14939</xdr:rowOff>
    </xdr:from>
    <xdr:to>
      <xdr:col>8</xdr:col>
      <xdr:colOff>1615931</xdr:colOff>
      <xdr:row>5</xdr:row>
      <xdr:rowOff>29882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/>
        </xdr:cNvSpPr>
      </xdr:nvSpPr>
      <xdr:spPr>
        <a:xfrm>
          <a:off x="8742603" y="388468"/>
          <a:ext cx="1838034" cy="575238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Cluster Analysis</a:t>
          </a:r>
        </a:p>
      </xdr:txBody>
    </xdr:sp>
    <xdr:clientData/>
  </xdr:twoCellAnchor>
  <xdr:twoCellAnchor>
    <xdr:from>
      <xdr:col>8</xdr:col>
      <xdr:colOff>1615821</xdr:colOff>
      <xdr:row>6</xdr:row>
      <xdr:rowOff>134471</xdr:rowOff>
    </xdr:from>
    <xdr:to>
      <xdr:col>11</xdr:col>
      <xdr:colOff>42077</xdr:colOff>
      <xdr:row>9</xdr:row>
      <xdr:rowOff>150648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/>
        </xdr:cNvSpPr>
      </xdr:nvSpPr>
      <xdr:spPr>
        <a:xfrm>
          <a:off x="10580527" y="1262530"/>
          <a:ext cx="1810432" cy="576471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Classification</a:t>
          </a:r>
        </a:p>
      </xdr:txBody>
    </xdr:sp>
    <xdr:clientData/>
  </xdr:twoCellAnchor>
  <xdr:twoCellAnchor>
    <xdr:from>
      <xdr:col>8</xdr:col>
      <xdr:colOff>1645990</xdr:colOff>
      <xdr:row>15</xdr:row>
      <xdr:rowOff>164354</xdr:rowOff>
    </xdr:from>
    <xdr:to>
      <xdr:col>11</xdr:col>
      <xdr:colOff>7471</xdr:colOff>
      <xdr:row>18</xdr:row>
      <xdr:rowOff>180531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>
          <a:spLocks/>
        </xdr:cNvSpPr>
      </xdr:nvSpPr>
      <xdr:spPr>
        <a:xfrm>
          <a:off x="10617633" y="2894854"/>
          <a:ext cx="1736052" cy="560463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Correlation Analysis</a:t>
          </a:r>
        </a:p>
      </xdr:txBody>
    </xdr:sp>
    <xdr:clientData/>
  </xdr:twoCellAnchor>
  <xdr:twoCellAnchor>
    <xdr:from>
      <xdr:col>1</xdr:col>
      <xdr:colOff>119859</xdr:colOff>
      <xdr:row>15</xdr:row>
      <xdr:rowOff>128868</xdr:rowOff>
    </xdr:from>
    <xdr:to>
      <xdr:col>1</xdr:col>
      <xdr:colOff>1482594</xdr:colOff>
      <xdr:row>18</xdr:row>
      <xdr:rowOff>127264</xdr:rowOff>
    </xdr:to>
    <xdr:sp macro="[0]!ImortFeaturedata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>
          <a:spLocks/>
        </xdr:cNvSpPr>
      </xdr:nvSpPr>
      <xdr:spPr>
        <a:xfrm>
          <a:off x="590506" y="2937809"/>
          <a:ext cx="1362735" cy="55869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</a:t>
          </a:r>
          <a:r>
            <a:rPr lang="en-AU" sz="1200" baseline="0"/>
            <a:t> featuredata</a:t>
          </a:r>
          <a:endParaRPr lang="en-AU" sz="1200"/>
        </a:p>
      </xdr:txBody>
    </xdr:sp>
    <xdr:clientData/>
  </xdr:twoCellAnchor>
  <xdr:twoCellAnchor>
    <xdr:from>
      <xdr:col>1</xdr:col>
      <xdr:colOff>119890</xdr:colOff>
      <xdr:row>19</xdr:row>
      <xdr:rowOff>3362</xdr:rowOff>
    </xdr:from>
    <xdr:to>
      <xdr:col>1</xdr:col>
      <xdr:colOff>1475741</xdr:colOff>
      <xdr:row>21</xdr:row>
      <xdr:rowOff>181805</xdr:rowOff>
    </xdr:to>
    <xdr:sp macro="[0]!ImportSampledata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>
          <a:spLocks/>
        </xdr:cNvSpPr>
      </xdr:nvSpPr>
      <xdr:spPr>
        <a:xfrm>
          <a:off x="590537" y="3559362"/>
          <a:ext cx="1355851" cy="551972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 sampledata</a:t>
          </a:r>
        </a:p>
      </xdr:txBody>
    </xdr:sp>
    <xdr:clientData/>
  </xdr:twoCellAnchor>
  <xdr:twoCellAnchor>
    <xdr:from>
      <xdr:col>1</xdr:col>
      <xdr:colOff>119889</xdr:colOff>
      <xdr:row>22</xdr:row>
      <xdr:rowOff>37353</xdr:rowOff>
    </xdr:from>
    <xdr:to>
      <xdr:col>1</xdr:col>
      <xdr:colOff>1486646</xdr:colOff>
      <xdr:row>25</xdr:row>
      <xdr:rowOff>134471</xdr:rowOff>
    </xdr:to>
    <xdr:sp macro="[0]!ImportMetabolitedata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>
          <a:spLocks/>
        </xdr:cNvSpPr>
      </xdr:nvSpPr>
      <xdr:spPr>
        <a:xfrm>
          <a:off x="590536" y="4153647"/>
          <a:ext cx="1366757" cy="657412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/>
            <a:t>Import</a:t>
          </a:r>
          <a:r>
            <a:rPr lang="en-AU" sz="1200" baseline="0"/>
            <a:t> metabolitedata (optional)</a:t>
          </a:r>
          <a:endParaRPr lang="en-AU" sz="1200"/>
        </a:p>
      </xdr:txBody>
    </xdr:sp>
    <xdr:clientData/>
  </xdr:twoCellAnchor>
  <xdr:twoCellAnchor>
    <xdr:from>
      <xdr:col>1</xdr:col>
      <xdr:colOff>126209</xdr:colOff>
      <xdr:row>8</xdr:row>
      <xdr:rowOff>100105</xdr:rowOff>
    </xdr:from>
    <xdr:to>
      <xdr:col>1</xdr:col>
      <xdr:colOff>1488944</xdr:colOff>
      <xdr:row>11</xdr:row>
      <xdr:rowOff>149412</xdr:rowOff>
    </xdr:to>
    <xdr:sp macro="[0]!SaveAndSetWorkingFolder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>
          <a:spLocks/>
        </xdr:cNvSpPr>
      </xdr:nvSpPr>
      <xdr:spPr>
        <a:xfrm>
          <a:off x="596856" y="1601693"/>
          <a:ext cx="1362735" cy="609601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Set directory</a:t>
          </a:r>
          <a:r>
            <a:rPr lang="en-AU" sz="1200" baseline="0"/>
            <a:t> for the project</a:t>
          </a:r>
          <a:endParaRPr lang="en-AU" sz="1200"/>
        </a:p>
      </xdr:txBody>
    </xdr:sp>
    <xdr:clientData/>
  </xdr:twoCellAnchor>
  <xdr:twoCellAnchor>
    <xdr:from>
      <xdr:col>1</xdr:col>
      <xdr:colOff>119830</xdr:colOff>
      <xdr:row>6</xdr:row>
      <xdr:rowOff>44449</xdr:rowOff>
    </xdr:from>
    <xdr:to>
      <xdr:col>1</xdr:col>
      <xdr:colOff>1489447</xdr:colOff>
      <xdr:row>8</xdr:row>
      <xdr:rowOff>18748</xdr:rowOff>
    </xdr:to>
    <xdr:sp macro="[0]!InstallLinkR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SpPr>
          <a:spLocks/>
        </xdr:cNvSpPr>
      </xdr:nvSpPr>
      <xdr:spPr>
        <a:xfrm>
          <a:off x="659580" y="1155699"/>
          <a:ext cx="1369617" cy="342599"/>
        </a:xfrm>
        <a:prstGeom prst="roundRect">
          <a:avLst>
            <a:gd name="adj" fmla="val 0"/>
          </a:avLst>
        </a:prstGeom>
        <a:solidFill>
          <a:schemeClr val="accent3"/>
        </a:solidFill>
        <a:ln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/>
            <a:t>Install</a:t>
          </a:r>
          <a:r>
            <a:rPr lang="en-AU" sz="1200" baseline="0"/>
            <a:t> </a:t>
          </a:r>
          <a:r>
            <a:rPr lang="en-AU" sz="1200"/>
            <a:t>R </a:t>
          </a:r>
        </a:p>
      </xdr:txBody>
    </xdr:sp>
    <xdr:clientData/>
  </xdr:twoCellAnchor>
  <xdr:twoCellAnchor>
    <xdr:from>
      <xdr:col>1</xdr:col>
      <xdr:colOff>15124</xdr:colOff>
      <xdr:row>2</xdr:row>
      <xdr:rowOff>14940</xdr:rowOff>
    </xdr:from>
    <xdr:to>
      <xdr:col>2</xdr:col>
      <xdr:colOff>7470</xdr:colOff>
      <xdr:row>5</xdr:row>
      <xdr:rowOff>25980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>
          <a:spLocks/>
        </xdr:cNvSpPr>
      </xdr:nvSpPr>
      <xdr:spPr>
        <a:xfrm>
          <a:off x="554874" y="383240"/>
          <a:ext cx="1649696" cy="56349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1782608</xdr:colOff>
      <xdr:row>5</xdr:row>
      <xdr:rowOff>109586</xdr:rowOff>
    </xdr:from>
    <xdr:to>
      <xdr:col>4</xdr:col>
      <xdr:colOff>2696882</xdr:colOff>
      <xdr:row>13</xdr:row>
      <xdr:rowOff>44823</xdr:rowOff>
    </xdr:to>
    <xdr:sp macro="[0]!NormaliseData_Click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>
          <a:spLocks/>
        </xdr:cNvSpPr>
      </xdr:nvSpPr>
      <xdr:spPr>
        <a:xfrm>
          <a:off x="3934137" y="1043410"/>
          <a:ext cx="2699745" cy="1436825"/>
        </a:xfrm>
        <a:prstGeom prst="rect">
          <a:avLst/>
        </a:prstGeom>
        <a:solidFill>
          <a:schemeClr val="accent6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latin typeface="+mn-lt"/>
            </a:rPr>
            <a:t>- Normalize</a:t>
          </a:r>
          <a:r>
            <a:rPr lang="en-AU" sz="1600" b="0" baseline="0">
              <a:latin typeface="+mn-lt"/>
            </a:rPr>
            <a:t> - </a:t>
          </a:r>
        </a:p>
        <a:p>
          <a:pPr algn="ctr"/>
          <a:r>
            <a:rPr lang="en-AU" sz="1600" b="0" baseline="0">
              <a:latin typeface="+mn-lt"/>
            </a:rPr>
            <a:t>choose from several normalization methods</a:t>
          </a:r>
          <a:endParaRPr lang="en-AU" sz="1600" b="0">
            <a:latin typeface="+mn-lt"/>
          </a:endParaRPr>
        </a:p>
      </xdr:txBody>
    </xdr:sp>
    <xdr:clientData/>
  </xdr:twoCellAnchor>
  <xdr:twoCellAnchor>
    <xdr:from>
      <xdr:col>4</xdr:col>
      <xdr:colOff>1628586</xdr:colOff>
      <xdr:row>13</xdr:row>
      <xdr:rowOff>164353</xdr:rowOff>
    </xdr:from>
    <xdr:to>
      <xdr:col>4</xdr:col>
      <xdr:colOff>2681940</xdr:colOff>
      <xdr:row>14</xdr:row>
      <xdr:rowOff>156883</xdr:rowOff>
    </xdr:to>
    <xdr:sp macro="" textlink="">
      <xdr:nvSpPr>
        <xdr:cNvPr id="11" name="Rectangle: Rounded Corners 10">
          <a:hlinkClick xmlns:r="http://schemas.openxmlformats.org/officeDocument/2006/relationships" r:id="rId1" tooltip="The current methods are shown bellow, choose directly for (Pca,Rla,Dendrogram and Heatmap)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5565586" y="2599765"/>
          <a:ext cx="1053354" cy="179294"/>
        </a:xfrm>
        <a:prstGeom prst="roundRect">
          <a:avLst>
            <a:gd name="adj" fmla="val 50000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900"/>
            <a:t>Current</a:t>
          </a:r>
          <a:r>
            <a:rPr lang="en-AU" sz="900" baseline="0"/>
            <a:t> methods</a:t>
          </a:r>
          <a:endParaRPr lang="en-AU" sz="900"/>
        </a:p>
      </xdr:txBody>
    </xdr:sp>
    <xdr:clientData/>
  </xdr:twoCellAnchor>
  <xdr:twoCellAnchor>
    <xdr:from>
      <xdr:col>1</xdr:col>
      <xdr:colOff>121727</xdr:colOff>
      <xdr:row>12</xdr:row>
      <xdr:rowOff>37353</xdr:rowOff>
    </xdr:from>
    <xdr:to>
      <xdr:col>1</xdr:col>
      <xdr:colOff>1484462</xdr:colOff>
      <xdr:row>15</xdr:row>
      <xdr:rowOff>44824</xdr:rowOff>
    </xdr:to>
    <xdr:sp macro="[0]!SetRscriptLocation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>
          <a:spLocks/>
        </xdr:cNvSpPr>
      </xdr:nvSpPr>
      <xdr:spPr>
        <a:xfrm>
          <a:off x="592374" y="2286000"/>
          <a:ext cx="1362735" cy="567765"/>
        </a:xfrm>
        <a:prstGeom prst="roundRect">
          <a:avLst>
            <a:gd name="adj" fmla="val 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Locate Rscript.exe to Link</a:t>
          </a:r>
          <a:r>
            <a:rPr lang="en-AU" sz="1200" baseline="0"/>
            <a:t> R</a:t>
          </a:r>
          <a:endParaRPr lang="en-AU" sz="1200"/>
        </a:p>
      </xdr:txBody>
    </xdr:sp>
    <xdr:clientData/>
  </xdr:twoCellAnchor>
  <xdr:twoCellAnchor>
    <xdr:from>
      <xdr:col>1</xdr:col>
      <xdr:colOff>425824</xdr:colOff>
      <xdr:row>28</xdr:row>
      <xdr:rowOff>89648</xdr:rowOff>
    </xdr:from>
    <xdr:to>
      <xdr:col>10</xdr:col>
      <xdr:colOff>104588</xdr:colOff>
      <xdr:row>29</xdr:row>
      <xdr:rowOff>164353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896471" y="5326530"/>
          <a:ext cx="10944411" cy="261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! This is a</a:t>
          </a:r>
          <a:r>
            <a:rPr lang="en-AU" sz="1100" baseline="0"/>
            <a:t> working test version. If links don't work, refer to the attached vignette file (for a detailed explanation and examples). A text file containing the R installation guide is also attached !</a:t>
          </a:r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85" zoomScaleNormal="85" workbookViewId="0">
      <selection activeCell="G10" sqref="G10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5" sqref="G5"/>
    </sheetView>
  </sheetViews>
  <sheetFormatPr defaultRowHeight="14.5" x14ac:dyDescent="0.35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17" sqref="A17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zoomScaleNormal="100" workbookViewId="0">
      <selection activeCell="D12" sqref="D1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"/>
  <sheetViews>
    <sheetView workbookViewId="0">
      <selection activeCell="E10" sqref="E10"/>
    </sheetView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workbookViewId="0">
      <selection activeCell="D8" sqref="D8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>
      <selection activeCell="C15" sqref="C15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"/>
  <sheetViews>
    <sheetView topLeftCell="A22" zoomScale="85" zoomScaleNormal="85" workbookViewId="0">
      <selection activeCell="H15" sqref="H15"/>
    </sheetView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B050"/>
  </sheetPr>
  <dimension ref="B2:M36"/>
  <sheetViews>
    <sheetView tabSelected="1" zoomScale="85" zoomScaleNormal="85" workbookViewId="0">
      <selection activeCell="B36" sqref="B36"/>
    </sheetView>
  </sheetViews>
  <sheetFormatPr defaultRowHeight="14.5" x14ac:dyDescent="0.35"/>
  <cols>
    <col min="1" max="1" width="6.7265625" customWidth="1"/>
    <col min="2" max="2" width="23.7265625" customWidth="1"/>
    <col min="3" max="3" width="0.36328125" customWidth="1"/>
    <col min="4" max="4" width="25.54296875" customWidth="1"/>
    <col min="5" max="5" width="39.7265625" customWidth="1"/>
    <col min="7" max="7" width="7.81640625" customWidth="1"/>
    <col min="8" max="8" width="15.7265625" customWidth="1"/>
    <col min="9" max="9" width="30.90625" bestFit="1" customWidth="1"/>
    <col min="14" max="14" width="14.7265625" customWidth="1"/>
    <col min="15" max="15" width="45.7265625" customWidth="1"/>
  </cols>
  <sheetData>
    <row r="2" spans="2:13" x14ac:dyDescent="0.35">
      <c r="H2" s="4"/>
    </row>
    <row r="3" spans="2:13" x14ac:dyDescent="0.35">
      <c r="B3" s="4" t="s">
        <v>37</v>
      </c>
      <c r="D3" s="4" t="s">
        <v>38</v>
      </c>
      <c r="E3" s="4" t="s">
        <v>39</v>
      </c>
      <c r="G3" s="4"/>
      <c r="I3" s="4" t="s">
        <v>189</v>
      </c>
    </row>
    <row r="6" spans="2:13" ht="15.4" customHeight="1" x14ac:dyDescent="0.35"/>
    <row r="7" spans="2:13" x14ac:dyDescent="0.35">
      <c r="M7" s="2"/>
    </row>
    <row r="31" spans="2:2" ht="15.5" x14ac:dyDescent="0.35">
      <c r="B31" s="15" t="s">
        <v>0</v>
      </c>
    </row>
    <row r="33" spans="2:9" x14ac:dyDescent="0.35">
      <c r="B33" t="s">
        <v>1</v>
      </c>
      <c r="D33" s="19"/>
    </row>
    <row r="34" spans="2:9" x14ac:dyDescent="0.35">
      <c r="B34" s="2" t="s">
        <v>2</v>
      </c>
      <c r="I34" s="14"/>
    </row>
    <row r="35" spans="2:9" x14ac:dyDescent="0.35">
      <c r="B35" t="s">
        <v>305</v>
      </c>
      <c r="D35" s="20" t="b">
        <v>0</v>
      </c>
    </row>
    <row r="36" spans="2:9" x14ac:dyDescent="0.35">
      <c r="B36" t="s">
        <v>3</v>
      </c>
      <c r="D36" s="21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OptionButton1">
          <controlPr defaultSize="0" autoLine="0" r:id="rId5">
            <anchor moveWithCells="1">
              <from>
                <xdr:col>4</xdr:col>
                <xdr:colOff>1746250</xdr:colOff>
                <xdr:row>15</xdr:row>
                <xdr:rowOff>120650</xdr:rowOff>
              </from>
              <to>
                <xdr:col>4</xdr:col>
                <xdr:colOff>2609850</xdr:colOff>
                <xdr:row>17</xdr:row>
                <xdr:rowOff>44450</xdr:rowOff>
              </to>
            </anchor>
          </controlPr>
        </control>
      </mc:Choice>
      <mc:Fallback>
        <control shapeId="2051" r:id="rId4" name="OptionButton1"/>
      </mc:Fallback>
    </mc:AlternateContent>
    <mc:AlternateContent xmlns:mc="http://schemas.openxmlformats.org/markup-compatibility/2006">
      <mc:Choice Requires="x14">
        <control shapeId="2052" r:id="rId6" name="OptionButton2">
          <controlPr defaultSize="0" autoLine="0" r:id="rId7">
            <anchor moveWithCells="1">
              <from>
                <xdr:col>4</xdr:col>
                <xdr:colOff>1727200</xdr:colOff>
                <xdr:row>18</xdr:row>
                <xdr:rowOff>0</xdr:rowOff>
              </from>
              <to>
                <xdr:col>4</xdr:col>
                <xdr:colOff>2590800</xdr:colOff>
                <xdr:row>19</xdr:row>
                <xdr:rowOff>120650</xdr:rowOff>
              </to>
            </anchor>
          </controlPr>
        </control>
      </mc:Choice>
      <mc:Fallback>
        <control shapeId="2052" r:id="rId6" name="OptionButton2"/>
      </mc:Fallback>
    </mc:AlternateContent>
    <mc:AlternateContent xmlns:mc="http://schemas.openxmlformats.org/markup-compatibility/2006">
      <mc:Choice Requires="x14">
        <control shapeId="2053" r:id="rId8" name="OptionButton3">
          <controlPr defaultSize="0" autoLine="0" r:id="rId9">
            <anchor moveWithCells="1">
              <from>
                <xdr:col>4</xdr:col>
                <xdr:colOff>1746250</xdr:colOff>
                <xdr:row>20</xdr:row>
                <xdr:rowOff>95250</xdr:rowOff>
              </from>
              <to>
                <xdr:col>4</xdr:col>
                <xdr:colOff>2597150</xdr:colOff>
                <xdr:row>22</xdr:row>
                <xdr:rowOff>19050</xdr:rowOff>
              </to>
            </anchor>
          </controlPr>
        </control>
      </mc:Choice>
      <mc:Fallback>
        <control shapeId="2053" r:id="rId8" name="OptionButton3"/>
      </mc:Fallback>
    </mc:AlternateContent>
    <mc:AlternateContent xmlns:mc="http://schemas.openxmlformats.org/markup-compatibility/2006">
      <mc:Choice Requires="x14">
        <control shapeId="2054" r:id="rId10" name="OptionButton4">
          <controlPr defaultSize="0" autoLine="0" r:id="rId11">
            <anchor moveWithCells="1">
              <from>
                <xdr:col>4</xdr:col>
                <xdr:colOff>1739900</xdr:colOff>
                <xdr:row>22</xdr:row>
                <xdr:rowOff>133350</xdr:rowOff>
              </from>
              <to>
                <xdr:col>4</xdr:col>
                <xdr:colOff>2603500</xdr:colOff>
                <xdr:row>24</xdr:row>
                <xdr:rowOff>63500</xdr:rowOff>
              </to>
            </anchor>
          </controlPr>
        </control>
      </mc:Choice>
      <mc:Fallback>
        <control shapeId="2054" r:id="rId10" name="OptionButton4"/>
      </mc:Fallback>
    </mc:AlternateContent>
    <mc:AlternateContent xmlns:mc="http://schemas.openxmlformats.org/markup-compatibility/2006">
      <mc:Choice Requires="x14">
        <control shapeId="2056" r:id="rId12" name="Label 8">
          <controlPr defaultSize="0" autoFill="0" autoLine="0" autoPict="0">
            <anchor moveWithCells="1" sizeWithCells="1">
              <from>
                <xdr:col>4</xdr:col>
                <xdr:colOff>1739900</xdr:colOff>
                <xdr:row>16</xdr:row>
                <xdr:rowOff>158750</xdr:rowOff>
              </from>
              <to>
                <xdr:col>4</xdr:col>
                <xdr:colOff>2609850</xdr:colOff>
                <xdr:row>18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3" name="Label 9">
          <controlPr defaultSize="0" autoFill="0" autoLine="0" autoPict="0">
            <anchor moveWithCells="1" sizeWithCells="1">
              <from>
                <xdr:col>4</xdr:col>
                <xdr:colOff>1720850</xdr:colOff>
                <xdr:row>19</xdr:row>
                <xdr:rowOff>88900</xdr:rowOff>
              </from>
              <to>
                <xdr:col>4</xdr:col>
                <xdr:colOff>2597150</xdr:colOff>
                <xdr:row>20</xdr:row>
                <xdr:rowOff>101600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4" name="Label 10">
          <controlPr defaultSize="0" autoFill="0" autoLine="0" autoPict="0">
            <anchor moveWithCells="1" sizeWithCells="1">
              <from>
                <xdr:col>4</xdr:col>
                <xdr:colOff>1739900</xdr:colOff>
                <xdr:row>21</xdr:row>
                <xdr:rowOff>165100</xdr:rowOff>
              </from>
              <to>
                <xdr:col>4</xdr:col>
                <xdr:colOff>2667000</xdr:colOff>
                <xdr:row>23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5" name="Label 11">
          <controlPr defaultSize="0" autoFill="0" autoLine="0" autoPict="0">
            <anchor moveWithCells="1" sizeWithCells="1">
              <from>
                <xdr:col>4</xdr:col>
                <xdr:colOff>1720850</xdr:colOff>
                <xdr:row>24</xdr:row>
                <xdr:rowOff>31750</xdr:rowOff>
              </from>
              <to>
                <xdr:col>4</xdr:col>
                <xdr:colOff>2565400</xdr:colOff>
                <xdr:row>25</xdr:row>
                <xdr:rowOff>25400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"/>
  <sheetViews>
    <sheetView workbookViewId="0">
      <selection sqref="A1:XFD1048576"/>
    </sheetView>
  </sheetViews>
  <sheetFormatPr defaultRowHeight="14.5" x14ac:dyDescent="0.35"/>
  <cols>
    <col min="1" max="16384" width="8.7265625" style="16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"/>
  <sheetViews>
    <sheetView workbookViewId="0">
      <selection activeCell="D9" sqref="D9"/>
    </sheetView>
  </sheetViews>
  <sheetFormatPr defaultRowHeight="14.5" x14ac:dyDescent="0.3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"/>
  <sheetViews>
    <sheetView workbookViewId="0">
      <selection activeCell="E13" sqref="E13"/>
    </sheetView>
  </sheetViews>
  <sheetFormatPr defaultRowHeight="14.5" x14ac:dyDescent="0.3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Y323"/>
  <sheetViews>
    <sheetView zoomScaleNormal="100" workbookViewId="0"/>
  </sheetViews>
  <sheetFormatPr defaultColWidth="8.81640625" defaultRowHeight="14.5" x14ac:dyDescent="0.35"/>
  <cols>
    <col min="1" max="1" width="21.1796875" style="5" customWidth="1"/>
    <col min="2" max="2" width="31.7265625" style="5" customWidth="1"/>
    <col min="3" max="3" width="11.453125" style="5" customWidth="1"/>
    <col min="4" max="4" width="21" style="5" customWidth="1"/>
    <col min="5" max="5" width="17.1796875" style="5" customWidth="1"/>
    <col min="6" max="6" width="30.7265625" style="5" customWidth="1"/>
    <col min="7" max="7" width="10.7265625" style="5" customWidth="1"/>
    <col min="8" max="8" width="15.1796875" style="5" customWidth="1"/>
    <col min="9" max="9" width="32.7265625" style="5" customWidth="1"/>
    <col min="10" max="10" width="19.7265625" style="5" customWidth="1"/>
    <col min="11" max="11" width="18" style="5" customWidth="1"/>
    <col min="12" max="13" width="14.54296875" style="5" customWidth="1"/>
    <col min="14" max="14" width="13.36328125" style="5" customWidth="1"/>
    <col min="15" max="15" width="17.7265625" style="5" customWidth="1"/>
    <col min="16" max="16" width="24.26953125" style="5" customWidth="1"/>
    <col min="17" max="17" width="18.7265625" style="5" customWidth="1"/>
    <col min="18" max="18" width="20.54296875" style="5" customWidth="1"/>
    <col min="19" max="19" width="16.7265625" style="5" customWidth="1"/>
    <col min="20" max="20" width="8.81640625" style="5"/>
    <col min="21" max="21" width="14.90625" style="5" customWidth="1"/>
    <col min="22" max="22" width="33.1796875" style="5" customWidth="1"/>
    <col min="23" max="23" width="18.1796875" style="5" customWidth="1"/>
    <col min="24" max="25" width="16.6328125" style="5" customWidth="1"/>
    <col min="26" max="16384" width="8.81640625" style="5"/>
  </cols>
  <sheetData>
    <row r="1" spans="1:23" ht="18.5" x14ac:dyDescent="0.45">
      <c r="D1" s="6" t="s">
        <v>41</v>
      </c>
    </row>
    <row r="2" spans="1:23" x14ac:dyDescent="0.35">
      <c r="B2" s="7" t="s">
        <v>22</v>
      </c>
      <c r="D2" s="7" t="s">
        <v>4</v>
      </c>
      <c r="F2" s="7" t="s">
        <v>19</v>
      </c>
      <c r="H2" s="7" t="s">
        <v>17</v>
      </c>
      <c r="J2" s="7" t="s">
        <v>18</v>
      </c>
      <c r="O2" s="5" t="s">
        <v>30</v>
      </c>
      <c r="P2" s="12" t="str">
        <f>ConvertPathForR(settings!D33)</f>
        <v/>
      </c>
    </row>
    <row r="3" spans="1:23" x14ac:dyDescent="0.35">
      <c r="A3" s="5" t="s">
        <v>27</v>
      </c>
      <c r="B3" s="5" t="s">
        <v>26</v>
      </c>
      <c r="O3" s="5" t="s">
        <v>29</v>
      </c>
    </row>
    <row r="4" spans="1:23" ht="13.5" customHeight="1" x14ac:dyDescent="0.35">
      <c r="D4" s="5" t="s">
        <v>7</v>
      </c>
      <c r="H4" s="12" t="s">
        <v>23</v>
      </c>
      <c r="V4" s="12" t="s">
        <v>33</v>
      </c>
      <c r="W4" s="14"/>
    </row>
    <row r="5" spans="1:23" x14ac:dyDescent="0.35">
      <c r="D5" s="5" t="s">
        <v>8</v>
      </c>
      <c r="H5" s="12" t="s">
        <v>24</v>
      </c>
      <c r="O5" s="12" t="s">
        <v>300</v>
      </c>
      <c r="P5" s="5">
        <f>settings!D33</f>
        <v>0</v>
      </c>
      <c r="V5" s="12" t="s">
        <v>304</v>
      </c>
      <c r="W5" s="5" t="b">
        <v>0</v>
      </c>
    </row>
    <row r="6" spans="1:23" x14ac:dyDescent="0.35">
      <c r="D6" s="5" t="s">
        <v>9</v>
      </c>
      <c r="H6" s="12" t="s">
        <v>25</v>
      </c>
    </row>
    <row r="7" spans="1:23" x14ac:dyDescent="0.35">
      <c r="D7" s="8" t="s">
        <v>5</v>
      </c>
      <c r="H7" s="5">
        <v>0.8</v>
      </c>
      <c r="J7" s="5">
        <v>0</v>
      </c>
      <c r="K7" s="5" t="s">
        <v>20</v>
      </c>
      <c r="L7" s="5">
        <v>1</v>
      </c>
      <c r="O7" s="5" t="s">
        <v>31</v>
      </c>
      <c r="P7" s="5" t="str">
        <f>settings!D33 &amp; "\HistCopy"</f>
        <v>\HistCopy</v>
      </c>
    </row>
    <row r="8" spans="1:23" x14ac:dyDescent="0.35">
      <c r="D8" s="8" t="s">
        <v>6</v>
      </c>
      <c r="H8" s="5">
        <v>0.8</v>
      </c>
      <c r="J8" s="5">
        <v>0</v>
      </c>
      <c r="K8" s="5" t="s">
        <v>20</v>
      </c>
      <c r="L8" s="5">
        <v>1</v>
      </c>
    </row>
    <row r="9" spans="1:23" x14ac:dyDescent="0.35">
      <c r="D9" s="8" t="s">
        <v>10</v>
      </c>
      <c r="H9" s="5" t="s">
        <v>34</v>
      </c>
      <c r="J9" s="5" t="s">
        <v>34</v>
      </c>
      <c r="K9" s="5" t="s">
        <v>40</v>
      </c>
      <c r="L9" s="12" t="s">
        <v>124</v>
      </c>
      <c r="O9" s="5" t="s">
        <v>32</v>
      </c>
      <c r="P9" s="5" t="str">
        <f>ConvertPathForR(P5)</f>
        <v>0</v>
      </c>
    </row>
    <row r="10" spans="1:23" x14ac:dyDescent="0.35">
      <c r="D10" s="8" t="s">
        <v>11</v>
      </c>
      <c r="H10" s="5">
        <v>10</v>
      </c>
      <c r="J10" s="5" t="s">
        <v>21</v>
      </c>
    </row>
    <row r="11" spans="1:23" x14ac:dyDescent="0.35">
      <c r="D11" s="8" t="s">
        <v>12</v>
      </c>
      <c r="H11" s="5">
        <v>0.8</v>
      </c>
      <c r="J11" s="5">
        <v>0</v>
      </c>
      <c r="K11" s="5" t="s">
        <v>20</v>
      </c>
      <c r="L11" s="5">
        <v>1</v>
      </c>
    </row>
    <row r="12" spans="1:23" x14ac:dyDescent="0.35">
      <c r="D12" s="8" t="s">
        <v>13</v>
      </c>
      <c r="H12" s="5">
        <v>0.8</v>
      </c>
      <c r="J12" s="5">
        <v>0</v>
      </c>
      <c r="K12" s="5" t="s">
        <v>20</v>
      </c>
      <c r="L12" s="5">
        <v>1</v>
      </c>
    </row>
    <row r="13" spans="1:23" x14ac:dyDescent="0.35">
      <c r="D13" s="8" t="s">
        <v>14</v>
      </c>
      <c r="H13" s="5">
        <v>100</v>
      </c>
      <c r="J13" s="5" t="s">
        <v>21</v>
      </c>
    </row>
    <row r="14" spans="1:23" x14ac:dyDescent="0.35">
      <c r="D14" s="5" t="s">
        <v>15</v>
      </c>
      <c r="H14" s="5" t="s">
        <v>36</v>
      </c>
    </row>
    <row r="15" spans="1:23" x14ac:dyDescent="0.35">
      <c r="D15" s="5" t="s">
        <v>16</v>
      </c>
      <c r="H15" s="5" t="s">
        <v>35</v>
      </c>
    </row>
    <row r="16" spans="1:23" x14ac:dyDescent="0.35">
      <c r="A16" s="5" t="s">
        <v>28</v>
      </c>
    </row>
    <row r="19" spans="1:25" ht="18.5" x14ac:dyDescent="0.45">
      <c r="D19" s="6" t="s">
        <v>42</v>
      </c>
    </row>
    <row r="20" spans="1:25" ht="15.5" x14ac:dyDescent="0.35">
      <c r="B20" s="7" t="s">
        <v>22</v>
      </c>
      <c r="D20" s="7" t="s">
        <v>43</v>
      </c>
      <c r="F20" s="7" t="s">
        <v>19</v>
      </c>
      <c r="H20" s="7" t="s">
        <v>17</v>
      </c>
      <c r="J20" s="7" t="s">
        <v>18</v>
      </c>
      <c r="P20" s="1" t="s">
        <v>169</v>
      </c>
      <c r="R20" s="5" t="s">
        <v>299</v>
      </c>
    </row>
    <row r="21" spans="1:25" x14ac:dyDescent="0.35">
      <c r="A21" s="5" t="s">
        <v>47</v>
      </c>
      <c r="B21" s="5" t="s">
        <v>43</v>
      </c>
    </row>
    <row r="22" spans="1:25" x14ac:dyDescent="0.35">
      <c r="D22" s="5" t="s">
        <v>7</v>
      </c>
      <c r="H22" s="5" t="s">
        <v>23</v>
      </c>
      <c r="P22" s="3" t="s">
        <v>163</v>
      </c>
      <c r="Q22" s="3" t="s">
        <v>164</v>
      </c>
      <c r="R22" s="3" t="s">
        <v>165</v>
      </c>
      <c r="S22" s="3" t="s">
        <v>166</v>
      </c>
      <c r="V22" s="3" t="s">
        <v>215</v>
      </c>
      <c r="W22" s="3" t="s">
        <v>214</v>
      </c>
      <c r="X22" s="3" t="s">
        <v>216</v>
      </c>
      <c r="Y22" s="3" t="s">
        <v>217</v>
      </c>
    </row>
    <row r="23" spans="1:25" x14ac:dyDescent="0.35">
      <c r="D23" s="5" t="s">
        <v>45</v>
      </c>
      <c r="H23" s="5" t="s">
        <v>44</v>
      </c>
      <c r="O23" s="5" t="s">
        <v>167</v>
      </c>
      <c r="U23" s="12" t="s">
        <v>218</v>
      </c>
    </row>
    <row r="24" spans="1:25" x14ac:dyDescent="0.35">
      <c r="D24" s="5" t="s">
        <v>15</v>
      </c>
      <c r="H24" s="5" t="s">
        <v>36</v>
      </c>
      <c r="O24" s="5" t="s">
        <v>168</v>
      </c>
      <c r="P24" s="12" t="s">
        <v>36</v>
      </c>
      <c r="Q24" s="5" t="s">
        <v>36</v>
      </c>
      <c r="R24" s="5" t="s">
        <v>36</v>
      </c>
      <c r="S24" s="5" t="s">
        <v>36</v>
      </c>
      <c r="U24" s="12" t="s">
        <v>219</v>
      </c>
    </row>
    <row r="25" spans="1:25" x14ac:dyDescent="0.35">
      <c r="D25" s="12" t="s">
        <v>303</v>
      </c>
      <c r="H25" s="12" t="s">
        <v>36</v>
      </c>
      <c r="P25" s="12"/>
      <c r="U25" s="12"/>
    </row>
    <row r="26" spans="1:25" x14ac:dyDescent="0.35">
      <c r="D26" s="5" t="s">
        <v>16</v>
      </c>
      <c r="H26" s="5" t="s">
        <v>46</v>
      </c>
      <c r="O26" s="12" t="s">
        <v>190</v>
      </c>
      <c r="P26" s="5" t="s">
        <v>36</v>
      </c>
      <c r="Q26" s="5" t="s">
        <v>36</v>
      </c>
      <c r="R26" s="5" t="s">
        <v>36</v>
      </c>
      <c r="S26" s="5" t="s">
        <v>36</v>
      </c>
    </row>
    <row r="27" spans="1:25" x14ac:dyDescent="0.35">
      <c r="A27" s="5" t="s">
        <v>28</v>
      </c>
    </row>
    <row r="29" spans="1:25" ht="15.5" x14ac:dyDescent="0.35">
      <c r="P29" s="1" t="s">
        <v>170</v>
      </c>
      <c r="R29" s="18">
        <v>1</v>
      </c>
      <c r="S29" s="12"/>
    </row>
    <row r="30" spans="1:25" ht="18.5" x14ac:dyDescent="0.45">
      <c r="D30" s="6" t="s">
        <v>48</v>
      </c>
    </row>
    <row r="31" spans="1:25" ht="15.5" x14ac:dyDescent="0.35">
      <c r="B31" s="7" t="s">
        <v>22</v>
      </c>
      <c r="D31" s="7" t="s">
        <v>49</v>
      </c>
      <c r="F31" s="7" t="s">
        <v>19</v>
      </c>
      <c r="H31" s="7" t="s">
        <v>17</v>
      </c>
      <c r="J31" s="7" t="s">
        <v>18</v>
      </c>
      <c r="P31" s="1" t="s">
        <v>171</v>
      </c>
      <c r="R31" s="5" t="s">
        <v>302</v>
      </c>
    </row>
    <row r="32" spans="1:25" x14ac:dyDescent="0.35">
      <c r="A32" s="5" t="s">
        <v>27</v>
      </c>
      <c r="B32" s="5" t="s">
        <v>49</v>
      </c>
      <c r="V32" s="12"/>
    </row>
    <row r="33" spans="4:22" x14ac:dyDescent="0.35">
      <c r="D33" s="5" t="s">
        <v>7</v>
      </c>
      <c r="H33" s="12" t="s">
        <v>23</v>
      </c>
      <c r="P33" s="3" t="s">
        <v>222</v>
      </c>
      <c r="V33" s="12"/>
    </row>
    <row r="34" spans="4:22" x14ac:dyDescent="0.35">
      <c r="D34" s="8" t="s">
        <v>50</v>
      </c>
      <c r="H34" s="5" t="s">
        <v>84</v>
      </c>
    </row>
    <row r="35" spans="4:22" x14ac:dyDescent="0.35">
      <c r="D35" s="8" t="s">
        <v>51</v>
      </c>
      <c r="H35" s="5">
        <v>0.5</v>
      </c>
      <c r="V35" s="12"/>
    </row>
    <row r="36" spans="4:22" x14ac:dyDescent="0.35">
      <c r="D36" s="8" t="s">
        <v>52</v>
      </c>
      <c r="H36" s="5" t="s">
        <v>54</v>
      </c>
      <c r="J36" s="5" t="s">
        <v>54</v>
      </c>
      <c r="K36" s="5" t="s">
        <v>53</v>
      </c>
    </row>
    <row r="37" spans="4:22" x14ac:dyDescent="0.35">
      <c r="D37" s="8" t="s">
        <v>66</v>
      </c>
      <c r="H37" s="5" t="s">
        <v>67</v>
      </c>
    </row>
    <row r="38" spans="4:22" x14ac:dyDescent="0.35">
      <c r="D38" s="5" t="s">
        <v>55</v>
      </c>
      <c r="H38" s="5" t="s">
        <v>36</v>
      </c>
    </row>
    <row r="39" spans="4:22" x14ac:dyDescent="0.35">
      <c r="D39" s="5" t="s">
        <v>56</v>
      </c>
      <c r="H39" s="5" t="s">
        <v>72</v>
      </c>
    </row>
    <row r="40" spans="4:22" x14ac:dyDescent="0.35">
      <c r="D40" s="5" t="s">
        <v>57</v>
      </c>
      <c r="H40" s="5" t="s">
        <v>36</v>
      </c>
    </row>
    <row r="41" spans="4:22" x14ac:dyDescent="0.35">
      <c r="D41" s="5" t="s">
        <v>58</v>
      </c>
      <c r="H41" s="5" t="s">
        <v>36</v>
      </c>
    </row>
    <row r="42" spans="4:22" x14ac:dyDescent="0.35">
      <c r="D42" s="5" t="s">
        <v>59</v>
      </c>
      <c r="H42" s="5" t="s">
        <v>36</v>
      </c>
    </row>
    <row r="43" spans="4:22" x14ac:dyDescent="0.35">
      <c r="D43" s="5" t="s">
        <v>60</v>
      </c>
      <c r="H43" s="5" t="s">
        <v>71</v>
      </c>
    </row>
    <row r="44" spans="4:22" x14ac:dyDescent="0.35">
      <c r="D44" s="5" t="s">
        <v>61</v>
      </c>
      <c r="H44" s="5" t="s">
        <v>68</v>
      </c>
    </row>
    <row r="45" spans="4:22" x14ac:dyDescent="0.35">
      <c r="D45" s="5" t="s">
        <v>62</v>
      </c>
      <c r="H45" s="5">
        <v>0.8</v>
      </c>
    </row>
    <row r="46" spans="4:22" x14ac:dyDescent="0.35">
      <c r="D46" s="5" t="s">
        <v>63</v>
      </c>
      <c r="H46" s="5">
        <v>2</v>
      </c>
    </row>
    <row r="47" spans="4:22" x14ac:dyDescent="0.35">
      <c r="D47" s="5" t="s">
        <v>64</v>
      </c>
      <c r="H47" s="5" t="s">
        <v>69</v>
      </c>
    </row>
    <row r="48" spans="4:22" x14ac:dyDescent="0.35">
      <c r="D48" s="5" t="s">
        <v>65</v>
      </c>
      <c r="H48" s="5" t="s">
        <v>70</v>
      </c>
    </row>
    <row r="49" spans="1:10" x14ac:dyDescent="0.35">
      <c r="A49" s="5" t="s">
        <v>28</v>
      </c>
    </row>
    <row r="52" spans="1:10" ht="18.5" x14ac:dyDescent="0.45">
      <c r="D52" s="6" t="s">
        <v>73</v>
      </c>
    </row>
    <row r="53" spans="1:10" x14ac:dyDescent="0.35">
      <c r="B53" s="7" t="s">
        <v>22</v>
      </c>
      <c r="D53" s="7" t="s">
        <v>74</v>
      </c>
      <c r="F53" s="7" t="s">
        <v>19</v>
      </c>
      <c r="H53" s="7" t="s">
        <v>17</v>
      </c>
      <c r="J53" s="7" t="s">
        <v>18</v>
      </c>
    </row>
    <row r="54" spans="1:10" x14ac:dyDescent="0.35">
      <c r="A54" s="5" t="s">
        <v>27</v>
      </c>
      <c r="B54" s="5" t="s">
        <v>74</v>
      </c>
    </row>
    <row r="55" spans="1:10" x14ac:dyDescent="0.35">
      <c r="D55" s="5" t="s">
        <v>7</v>
      </c>
      <c r="H55" s="5" t="s">
        <v>23</v>
      </c>
    </row>
    <row r="56" spans="1:10" x14ac:dyDescent="0.35">
      <c r="D56" s="8" t="s">
        <v>50</v>
      </c>
      <c r="H56" s="5" t="s">
        <v>87</v>
      </c>
    </row>
    <row r="57" spans="1:10" x14ac:dyDescent="0.35">
      <c r="D57" s="5" t="s">
        <v>55</v>
      </c>
      <c r="H57" s="5" t="s">
        <v>36</v>
      </c>
    </row>
    <row r="58" spans="1:10" x14ac:dyDescent="0.35">
      <c r="D58" s="5" t="s">
        <v>59</v>
      </c>
      <c r="H58" s="5" t="s">
        <v>36</v>
      </c>
    </row>
    <row r="59" spans="1:10" x14ac:dyDescent="0.35">
      <c r="D59" s="8" t="s">
        <v>66</v>
      </c>
      <c r="H59" s="5" t="s">
        <v>85</v>
      </c>
    </row>
    <row r="60" spans="1:10" x14ac:dyDescent="0.35">
      <c r="D60" s="5" t="s">
        <v>56</v>
      </c>
      <c r="H60" s="5" t="s">
        <v>82</v>
      </c>
    </row>
    <row r="61" spans="1:10" x14ac:dyDescent="0.35">
      <c r="D61" s="5" t="s">
        <v>75</v>
      </c>
      <c r="H61" s="5" t="s">
        <v>36</v>
      </c>
    </row>
    <row r="62" spans="1:10" x14ac:dyDescent="0.35">
      <c r="D62" s="8" t="s">
        <v>76</v>
      </c>
      <c r="H62" s="5">
        <v>1</v>
      </c>
    </row>
    <row r="63" spans="1:10" x14ac:dyDescent="0.35">
      <c r="D63" s="8" t="s">
        <v>77</v>
      </c>
      <c r="H63" s="5">
        <v>2</v>
      </c>
    </row>
    <row r="64" spans="1:10" x14ac:dyDescent="0.35">
      <c r="D64" s="5" t="s">
        <v>78</v>
      </c>
      <c r="H64" s="5" t="s">
        <v>36</v>
      </c>
    </row>
    <row r="65" spans="1:10" x14ac:dyDescent="0.35">
      <c r="D65" s="5" t="s">
        <v>79</v>
      </c>
      <c r="H65" s="5" t="s">
        <v>36</v>
      </c>
    </row>
    <row r="66" spans="1:10" x14ac:dyDescent="0.35">
      <c r="D66" s="5" t="s">
        <v>80</v>
      </c>
      <c r="H66" s="5" t="s">
        <v>68</v>
      </c>
    </row>
    <row r="67" spans="1:10" x14ac:dyDescent="0.35">
      <c r="D67" s="5" t="s">
        <v>81</v>
      </c>
      <c r="H67" s="5" t="s">
        <v>36</v>
      </c>
    </row>
    <row r="68" spans="1:10" x14ac:dyDescent="0.35">
      <c r="D68" s="5" t="s">
        <v>86</v>
      </c>
      <c r="H68" s="5" t="s">
        <v>36</v>
      </c>
    </row>
    <row r="69" spans="1:10" x14ac:dyDescent="0.35">
      <c r="D69" s="8" t="s">
        <v>83</v>
      </c>
      <c r="H69" s="5">
        <v>3</v>
      </c>
    </row>
    <row r="70" spans="1:10" x14ac:dyDescent="0.35">
      <c r="A70" s="5" t="s">
        <v>28</v>
      </c>
    </row>
    <row r="73" spans="1:10" ht="18.5" x14ac:dyDescent="0.45">
      <c r="D73" s="6" t="s">
        <v>88</v>
      </c>
    </row>
    <row r="74" spans="1:10" x14ac:dyDescent="0.35">
      <c r="B74" s="7" t="s">
        <v>22</v>
      </c>
      <c r="D74" s="7" t="s">
        <v>89</v>
      </c>
      <c r="F74" s="7" t="s">
        <v>19</v>
      </c>
      <c r="H74" s="7" t="s">
        <v>17</v>
      </c>
      <c r="J74" s="7" t="s">
        <v>18</v>
      </c>
    </row>
    <row r="75" spans="1:10" x14ac:dyDescent="0.35">
      <c r="A75" s="5" t="s">
        <v>27</v>
      </c>
      <c r="B75" s="5" t="s">
        <v>89</v>
      </c>
    </row>
    <row r="76" spans="1:10" x14ac:dyDescent="0.35">
      <c r="D76" s="5" t="s">
        <v>7</v>
      </c>
      <c r="H76" s="5" t="s">
        <v>23</v>
      </c>
    </row>
    <row r="77" spans="1:10" x14ac:dyDescent="0.35">
      <c r="D77" s="8" t="s">
        <v>50</v>
      </c>
      <c r="H77" s="5" t="s">
        <v>93</v>
      </c>
    </row>
    <row r="78" spans="1:10" x14ac:dyDescent="0.35">
      <c r="D78" s="5" t="s">
        <v>55</v>
      </c>
      <c r="H78" s="5" t="s">
        <v>36</v>
      </c>
    </row>
    <row r="79" spans="1:10" x14ac:dyDescent="0.35">
      <c r="D79" s="8" t="s">
        <v>66</v>
      </c>
      <c r="H79" s="5" t="s">
        <v>110</v>
      </c>
    </row>
    <row r="80" spans="1:10" x14ac:dyDescent="0.35">
      <c r="D80" s="5" t="s">
        <v>56</v>
      </c>
      <c r="H80" s="5" t="s">
        <v>82</v>
      </c>
    </row>
    <row r="81" spans="1:16" x14ac:dyDescent="0.35">
      <c r="D81" s="8" t="s">
        <v>90</v>
      </c>
      <c r="H81" s="5" t="s">
        <v>95</v>
      </c>
      <c r="J81" s="5" t="s">
        <v>96</v>
      </c>
      <c r="K81" s="5" t="s">
        <v>97</v>
      </c>
      <c r="L81" s="5" t="s">
        <v>98</v>
      </c>
      <c r="M81" s="5" t="s">
        <v>99</v>
      </c>
      <c r="N81" s="5" t="s">
        <v>100</v>
      </c>
      <c r="O81" s="5" t="s">
        <v>101</v>
      </c>
    </row>
    <row r="82" spans="1:16" x14ac:dyDescent="0.35">
      <c r="D82" s="8" t="s">
        <v>91</v>
      </c>
      <c r="H82" s="5" t="s">
        <v>102</v>
      </c>
      <c r="J82" s="5" t="s">
        <v>103</v>
      </c>
      <c r="K82" s="5" t="s">
        <v>104</v>
      </c>
      <c r="L82" s="5" t="s">
        <v>105</v>
      </c>
      <c r="M82" s="5" t="s">
        <v>106</v>
      </c>
      <c r="N82" s="5" t="s">
        <v>107</v>
      </c>
      <c r="O82" s="5" t="s">
        <v>108</v>
      </c>
      <c r="P82" s="5" t="s">
        <v>109</v>
      </c>
    </row>
    <row r="83" spans="1:16" x14ac:dyDescent="0.35">
      <c r="D83" s="9" t="s">
        <v>80</v>
      </c>
      <c r="H83" s="5" t="s">
        <v>94</v>
      </c>
      <c r="J83" s="5" t="s">
        <v>111</v>
      </c>
    </row>
    <row r="84" spans="1:16" x14ac:dyDescent="0.35">
      <c r="D84" s="8" t="s">
        <v>92</v>
      </c>
      <c r="H84" s="5">
        <v>0.8</v>
      </c>
      <c r="J84" s="5" t="s">
        <v>112</v>
      </c>
    </row>
    <row r="85" spans="1:16" x14ac:dyDescent="0.35">
      <c r="A85" s="5" t="s">
        <v>28</v>
      </c>
    </row>
    <row r="88" spans="1:16" ht="18.5" x14ac:dyDescent="0.45">
      <c r="D88" s="6" t="s">
        <v>113</v>
      </c>
    </row>
    <row r="89" spans="1:16" x14ac:dyDescent="0.35">
      <c r="B89" s="7" t="s">
        <v>22</v>
      </c>
      <c r="D89" s="7" t="s">
        <v>114</v>
      </c>
      <c r="F89" s="7" t="s">
        <v>19</v>
      </c>
      <c r="H89" s="7" t="s">
        <v>17</v>
      </c>
      <c r="J89" s="7" t="s">
        <v>18</v>
      </c>
    </row>
    <row r="90" spans="1:16" x14ac:dyDescent="0.35">
      <c r="A90" s="5" t="s">
        <v>27</v>
      </c>
      <c r="B90" s="5" t="s">
        <v>114</v>
      </c>
    </row>
    <row r="91" spans="1:16" x14ac:dyDescent="0.35">
      <c r="D91" s="5" t="s">
        <v>7</v>
      </c>
      <c r="H91" s="5" t="s">
        <v>23</v>
      </c>
    </row>
    <row r="92" spans="1:16" x14ac:dyDescent="0.35">
      <c r="D92" s="8" t="s">
        <v>50</v>
      </c>
      <c r="H92" s="5" t="s">
        <v>93</v>
      </c>
    </row>
    <row r="93" spans="1:16" x14ac:dyDescent="0.35">
      <c r="D93" s="5" t="s">
        <v>55</v>
      </c>
      <c r="H93" s="5" t="s">
        <v>36</v>
      </c>
    </row>
    <row r="94" spans="1:16" x14ac:dyDescent="0.35">
      <c r="D94" s="8" t="s">
        <v>66</v>
      </c>
      <c r="H94" s="5" t="s">
        <v>128</v>
      </c>
    </row>
    <row r="95" spans="1:16" x14ac:dyDescent="0.35">
      <c r="D95" s="5" t="s">
        <v>56</v>
      </c>
      <c r="H95" s="5" t="s">
        <v>82</v>
      </c>
    </row>
    <row r="96" spans="1:16" x14ac:dyDescent="0.35">
      <c r="D96" s="5" t="s">
        <v>57</v>
      </c>
      <c r="H96" s="5" t="s">
        <v>36</v>
      </c>
    </row>
    <row r="97" spans="1:16" x14ac:dyDescent="0.35">
      <c r="D97" s="5" t="s">
        <v>59</v>
      </c>
      <c r="H97" s="5" t="s">
        <v>36</v>
      </c>
    </row>
    <row r="98" spans="1:16" x14ac:dyDescent="0.35">
      <c r="D98" s="8" t="s">
        <v>115</v>
      </c>
      <c r="H98" s="5" t="s">
        <v>160</v>
      </c>
    </row>
    <row r="99" spans="1:16" x14ac:dyDescent="0.35">
      <c r="D99" s="8" t="s">
        <v>79</v>
      </c>
      <c r="H99" s="5" t="s">
        <v>122</v>
      </c>
      <c r="J99" s="5" t="s">
        <v>122</v>
      </c>
      <c r="K99" s="5" t="s">
        <v>123</v>
      </c>
      <c r="L99" s="5" t="s">
        <v>124</v>
      </c>
    </row>
    <row r="100" spans="1:16" x14ac:dyDescent="0.35">
      <c r="D100" s="8" t="s">
        <v>116</v>
      </c>
      <c r="H100" s="5" t="s">
        <v>125</v>
      </c>
      <c r="J100" s="12" t="s">
        <v>125</v>
      </c>
      <c r="K100" s="12" t="s">
        <v>122</v>
      </c>
      <c r="L100" s="12" t="s">
        <v>123</v>
      </c>
      <c r="M100" s="12" t="s">
        <v>124</v>
      </c>
    </row>
    <row r="101" spans="1:16" x14ac:dyDescent="0.35">
      <c r="D101" s="8" t="s">
        <v>90</v>
      </c>
      <c r="H101" s="5" t="s">
        <v>96</v>
      </c>
      <c r="J101" s="5" t="s">
        <v>96</v>
      </c>
      <c r="K101" s="5" t="s">
        <v>97</v>
      </c>
      <c r="L101" s="5" t="s">
        <v>98</v>
      </c>
      <c r="M101" s="5" t="s">
        <v>99</v>
      </c>
      <c r="N101" s="5" t="s">
        <v>100</v>
      </c>
      <c r="O101" s="5" t="s">
        <v>101</v>
      </c>
    </row>
    <row r="102" spans="1:16" x14ac:dyDescent="0.35">
      <c r="D102" s="8" t="s">
        <v>91</v>
      </c>
      <c r="H102" s="5" t="s">
        <v>105</v>
      </c>
      <c r="J102" s="5" t="s">
        <v>103</v>
      </c>
      <c r="K102" s="5" t="s">
        <v>104</v>
      </c>
      <c r="L102" s="5" t="s">
        <v>105</v>
      </c>
      <c r="M102" s="5" t="s">
        <v>106</v>
      </c>
      <c r="N102" s="5" t="s">
        <v>107</v>
      </c>
      <c r="O102" s="5" t="s">
        <v>108</v>
      </c>
      <c r="P102" s="5" t="s">
        <v>109</v>
      </c>
    </row>
    <row r="103" spans="1:16" x14ac:dyDescent="0.35">
      <c r="D103" s="5" t="s">
        <v>117</v>
      </c>
      <c r="H103" s="5" t="s">
        <v>126</v>
      </c>
    </row>
    <row r="104" spans="1:16" x14ac:dyDescent="0.35">
      <c r="D104" s="5" t="s">
        <v>118</v>
      </c>
      <c r="H104" s="5" t="s">
        <v>36</v>
      </c>
    </row>
    <row r="105" spans="1:16" x14ac:dyDescent="0.35">
      <c r="D105" s="5" t="s">
        <v>119</v>
      </c>
      <c r="H105" s="5">
        <v>1.5</v>
      </c>
    </row>
    <row r="106" spans="1:16" x14ac:dyDescent="0.35">
      <c r="D106" s="5" t="s">
        <v>120</v>
      </c>
      <c r="H106" s="5">
        <v>0.5</v>
      </c>
    </row>
    <row r="107" spans="1:16" x14ac:dyDescent="0.35">
      <c r="D107" s="5" t="s">
        <v>121</v>
      </c>
      <c r="H107" s="5" t="s">
        <v>68</v>
      </c>
    </row>
    <row r="108" spans="1:16" x14ac:dyDescent="0.35">
      <c r="A108" s="5" t="s">
        <v>127</v>
      </c>
    </row>
    <row r="112" spans="1:16" ht="18.5" x14ac:dyDescent="0.45">
      <c r="D112" s="6" t="s">
        <v>129</v>
      </c>
    </row>
    <row r="113" spans="1:15" x14ac:dyDescent="0.35">
      <c r="B113" s="7" t="s">
        <v>22</v>
      </c>
      <c r="D113" s="7" t="s">
        <v>129</v>
      </c>
      <c r="F113" s="7" t="s">
        <v>19</v>
      </c>
      <c r="H113" s="7" t="s">
        <v>17</v>
      </c>
      <c r="J113" s="7" t="s">
        <v>18</v>
      </c>
    </row>
    <row r="114" spans="1:15" x14ac:dyDescent="0.35">
      <c r="A114" s="5" t="s">
        <v>27</v>
      </c>
      <c r="B114" s="5" t="s">
        <v>129</v>
      </c>
    </row>
    <row r="115" spans="1:15" x14ac:dyDescent="0.35">
      <c r="D115" s="5" t="s">
        <v>7</v>
      </c>
      <c r="H115" s="5" t="s">
        <v>23</v>
      </c>
    </row>
    <row r="116" spans="1:15" x14ac:dyDescent="0.35">
      <c r="D116" s="8" t="s">
        <v>130</v>
      </c>
      <c r="H116" s="5" t="s">
        <v>93</v>
      </c>
    </row>
    <row r="117" spans="1:15" x14ac:dyDescent="0.35">
      <c r="D117" s="8" t="s">
        <v>10</v>
      </c>
      <c r="H117" s="5" t="s">
        <v>139</v>
      </c>
      <c r="J117" s="5" t="s">
        <v>139</v>
      </c>
      <c r="K117" s="5" t="s">
        <v>140</v>
      </c>
      <c r="L117" s="5" t="s">
        <v>141</v>
      </c>
      <c r="M117" s="5" t="s">
        <v>142</v>
      </c>
      <c r="N117" s="5" t="s">
        <v>143</v>
      </c>
      <c r="O117" s="5" t="s">
        <v>144</v>
      </c>
    </row>
    <row r="118" spans="1:15" x14ac:dyDescent="0.35">
      <c r="D118" s="8" t="s">
        <v>131</v>
      </c>
      <c r="F118" s="12"/>
      <c r="H118" s="5" t="s">
        <v>158</v>
      </c>
      <c r="J118" s="12" t="s">
        <v>162</v>
      </c>
    </row>
    <row r="119" spans="1:15" x14ac:dyDescent="0.35">
      <c r="D119" s="8" t="s">
        <v>132</v>
      </c>
      <c r="H119" s="5" t="s">
        <v>68</v>
      </c>
    </row>
    <row r="120" spans="1:15" x14ac:dyDescent="0.35">
      <c r="D120" s="8" t="s">
        <v>11</v>
      </c>
      <c r="H120" s="5" t="s">
        <v>68</v>
      </c>
    </row>
    <row r="121" spans="1:15" x14ac:dyDescent="0.35">
      <c r="D121" s="10" t="s">
        <v>133</v>
      </c>
      <c r="H121" s="5" t="s">
        <v>145</v>
      </c>
      <c r="I121" s="5" t="s">
        <v>161</v>
      </c>
    </row>
    <row r="122" spans="1:15" x14ac:dyDescent="0.35">
      <c r="D122" s="8" t="s">
        <v>134</v>
      </c>
      <c r="H122" s="5">
        <v>0.01</v>
      </c>
    </row>
    <row r="123" spans="1:15" x14ac:dyDescent="0.35">
      <c r="D123" s="8" t="s">
        <v>135</v>
      </c>
      <c r="E123" s="11"/>
      <c r="F123" s="12"/>
      <c r="H123" s="5" t="s">
        <v>146</v>
      </c>
    </row>
    <row r="124" spans="1:15" x14ac:dyDescent="0.35">
      <c r="D124" s="8" t="s">
        <v>147</v>
      </c>
      <c r="H124" s="5">
        <v>200</v>
      </c>
    </row>
    <row r="125" spans="1:15" x14ac:dyDescent="0.35">
      <c r="D125" s="8" t="s">
        <v>136</v>
      </c>
      <c r="H125" s="5">
        <v>100</v>
      </c>
    </row>
    <row r="126" spans="1:15" x14ac:dyDescent="0.35">
      <c r="D126" s="8" t="s">
        <v>137</v>
      </c>
      <c r="H126" s="5" t="s">
        <v>36</v>
      </c>
    </row>
    <row r="127" spans="1:15" x14ac:dyDescent="0.35">
      <c r="D127" s="8" t="s">
        <v>138</v>
      </c>
      <c r="H127" s="5">
        <v>2</v>
      </c>
    </row>
    <row r="128" spans="1:15" x14ac:dyDescent="0.35">
      <c r="D128" s="5" t="s">
        <v>15</v>
      </c>
      <c r="H128" s="5" t="s">
        <v>36</v>
      </c>
    </row>
    <row r="129" spans="1:10" x14ac:dyDescent="0.35">
      <c r="D129" s="10" t="s">
        <v>16</v>
      </c>
      <c r="F129" s="12"/>
      <c r="H129" s="12" t="s">
        <v>68</v>
      </c>
    </row>
    <row r="130" spans="1:10" x14ac:dyDescent="0.35">
      <c r="A130" s="5" t="s">
        <v>127</v>
      </c>
    </row>
    <row r="133" spans="1:10" ht="18.5" x14ac:dyDescent="0.45">
      <c r="D133" s="6" t="s">
        <v>148</v>
      </c>
    </row>
    <row r="134" spans="1:10" x14ac:dyDescent="0.35">
      <c r="B134" s="7" t="s">
        <v>22</v>
      </c>
      <c r="D134" s="7" t="s">
        <v>148</v>
      </c>
      <c r="F134" s="7" t="s">
        <v>19</v>
      </c>
      <c r="H134" s="7" t="s">
        <v>17</v>
      </c>
      <c r="J134" s="7" t="s">
        <v>18</v>
      </c>
    </row>
    <row r="135" spans="1:10" x14ac:dyDescent="0.35">
      <c r="A135" s="5" t="s">
        <v>27</v>
      </c>
      <c r="B135" s="5" t="s">
        <v>148</v>
      </c>
    </row>
    <row r="136" spans="1:10" x14ac:dyDescent="0.35">
      <c r="D136" s="5" t="s">
        <v>7</v>
      </c>
      <c r="H136" s="5" t="s">
        <v>23</v>
      </c>
    </row>
    <row r="137" spans="1:10" x14ac:dyDescent="0.35">
      <c r="D137" s="8" t="s">
        <v>8</v>
      </c>
      <c r="F137" s="12"/>
      <c r="H137" s="5" t="s">
        <v>152</v>
      </c>
      <c r="I137" s="5" t="s">
        <v>288</v>
      </c>
    </row>
    <row r="138" spans="1:10" x14ac:dyDescent="0.35">
      <c r="D138" s="10" t="s">
        <v>10</v>
      </c>
      <c r="H138" s="5" t="s">
        <v>151</v>
      </c>
    </row>
    <row r="139" spans="1:10" x14ac:dyDescent="0.35">
      <c r="D139" s="8" t="s">
        <v>149</v>
      </c>
      <c r="H139" s="5">
        <v>0</v>
      </c>
    </row>
    <row r="140" spans="1:10" x14ac:dyDescent="0.35">
      <c r="D140" s="8" t="s">
        <v>150</v>
      </c>
      <c r="H140" s="5">
        <v>2</v>
      </c>
    </row>
    <row r="141" spans="1:10" x14ac:dyDescent="0.35">
      <c r="D141" s="5" t="s">
        <v>15</v>
      </c>
      <c r="H141" s="5" t="s">
        <v>36</v>
      </c>
    </row>
    <row r="142" spans="1:10" x14ac:dyDescent="0.35">
      <c r="D142" s="10" t="s">
        <v>16</v>
      </c>
      <c r="H142" s="5" t="s">
        <v>68</v>
      </c>
    </row>
    <row r="143" spans="1:10" x14ac:dyDescent="0.35">
      <c r="A143" s="5" t="s">
        <v>127</v>
      </c>
    </row>
    <row r="146" spans="1:19" ht="18.5" x14ac:dyDescent="0.45">
      <c r="D146" s="6" t="s">
        <v>153</v>
      </c>
    </row>
    <row r="147" spans="1:19" x14ac:dyDescent="0.35">
      <c r="B147" s="7" t="s">
        <v>22</v>
      </c>
      <c r="D147" s="7" t="s">
        <v>153</v>
      </c>
      <c r="F147" s="7" t="s">
        <v>19</v>
      </c>
      <c r="H147" s="7" t="s">
        <v>17</v>
      </c>
      <c r="J147" s="7" t="s">
        <v>18</v>
      </c>
    </row>
    <row r="148" spans="1:19" x14ac:dyDescent="0.35">
      <c r="A148" s="5" t="s">
        <v>27</v>
      </c>
      <c r="B148" s="5" t="s">
        <v>153</v>
      </c>
    </row>
    <row r="149" spans="1:19" x14ac:dyDescent="0.35">
      <c r="D149" s="5" t="s">
        <v>7</v>
      </c>
      <c r="H149" s="5" t="s">
        <v>23</v>
      </c>
    </row>
    <row r="150" spans="1:19" x14ac:dyDescent="0.35">
      <c r="D150" s="8" t="s">
        <v>10</v>
      </c>
      <c r="H150" s="5" t="s">
        <v>108</v>
      </c>
      <c r="J150" s="5" t="s">
        <v>108</v>
      </c>
      <c r="K150" s="5" t="s">
        <v>155</v>
      </c>
      <c r="L150" s="5" t="s">
        <v>156</v>
      </c>
      <c r="M150" s="5" t="s">
        <v>157</v>
      </c>
    </row>
    <row r="151" spans="1:19" x14ac:dyDescent="0.35">
      <c r="D151" s="8" t="s">
        <v>154</v>
      </c>
      <c r="H151" s="5" t="s">
        <v>158</v>
      </c>
      <c r="J151" s="5" t="s">
        <v>162</v>
      </c>
    </row>
    <row r="152" spans="1:19" x14ac:dyDescent="0.35">
      <c r="D152" s="5" t="s">
        <v>15</v>
      </c>
      <c r="H152" s="5" t="s">
        <v>36</v>
      </c>
    </row>
    <row r="153" spans="1:19" x14ac:dyDescent="0.35">
      <c r="D153" s="10" t="s">
        <v>16</v>
      </c>
      <c r="H153" s="5" t="s">
        <v>68</v>
      </c>
    </row>
    <row r="154" spans="1:19" x14ac:dyDescent="0.35">
      <c r="A154" s="5" t="s">
        <v>127</v>
      </c>
    </row>
    <row r="157" spans="1:19" ht="18.5" x14ac:dyDescent="0.45">
      <c r="B157" s="10"/>
      <c r="D157" s="6" t="s">
        <v>159</v>
      </c>
    </row>
    <row r="158" spans="1:19" x14ac:dyDescent="0.35">
      <c r="B158" s="7" t="s">
        <v>22</v>
      </c>
      <c r="D158" s="7" t="s">
        <v>159</v>
      </c>
      <c r="F158" s="7" t="s">
        <v>19</v>
      </c>
      <c r="H158" s="7" t="s">
        <v>17</v>
      </c>
      <c r="J158" s="7" t="s">
        <v>18</v>
      </c>
    </row>
    <row r="159" spans="1:19" x14ac:dyDescent="0.35">
      <c r="A159" s="5" t="s">
        <v>27</v>
      </c>
    </row>
    <row r="160" spans="1:19" x14ac:dyDescent="0.35">
      <c r="D160" s="12" t="s">
        <v>289</v>
      </c>
      <c r="H160" s="12" t="s">
        <v>151</v>
      </c>
      <c r="J160" s="5" t="s">
        <v>139</v>
      </c>
      <c r="K160" s="5" t="s">
        <v>140</v>
      </c>
      <c r="L160" s="5" t="s">
        <v>141</v>
      </c>
      <c r="M160" s="5" t="s">
        <v>143</v>
      </c>
      <c r="N160" s="5" t="s">
        <v>144</v>
      </c>
      <c r="O160" s="5" t="s">
        <v>108</v>
      </c>
      <c r="P160" s="5" t="s">
        <v>155</v>
      </c>
      <c r="Q160" s="5" t="s">
        <v>156</v>
      </c>
      <c r="R160" s="5" t="s">
        <v>157</v>
      </c>
      <c r="S160" s="5" t="s">
        <v>151</v>
      </c>
    </row>
    <row r="161" spans="1:18" x14ac:dyDescent="0.35">
      <c r="D161" s="12" t="s">
        <v>290</v>
      </c>
      <c r="H161" s="12" t="s">
        <v>108</v>
      </c>
      <c r="J161" s="5" t="s">
        <v>139</v>
      </c>
      <c r="K161" s="5" t="s">
        <v>140</v>
      </c>
      <c r="L161" s="5" t="s">
        <v>141</v>
      </c>
      <c r="M161" s="5" t="s">
        <v>143</v>
      </c>
      <c r="N161" s="5" t="s">
        <v>144</v>
      </c>
      <c r="O161" s="5" t="s">
        <v>108</v>
      </c>
      <c r="P161" s="5" t="s">
        <v>155</v>
      </c>
      <c r="Q161" s="5" t="s">
        <v>156</v>
      </c>
      <c r="R161" s="5" t="s">
        <v>157</v>
      </c>
    </row>
    <row r="162" spans="1:18" x14ac:dyDescent="0.35">
      <c r="D162" s="12" t="s">
        <v>301</v>
      </c>
      <c r="F162" s="5" t="b">
        <v>1</v>
      </c>
      <c r="H162" s="5" t="b">
        <v>1</v>
      </c>
    </row>
    <row r="163" spans="1:18" x14ac:dyDescent="0.35">
      <c r="D163" s="12" t="s">
        <v>291</v>
      </c>
    </row>
    <row r="164" spans="1:18" x14ac:dyDescent="0.35">
      <c r="D164" s="12" t="s">
        <v>292</v>
      </c>
    </row>
    <row r="168" spans="1:18" ht="18.5" x14ac:dyDescent="0.45">
      <c r="D168" s="6" t="s">
        <v>172</v>
      </c>
    </row>
    <row r="169" spans="1:18" x14ac:dyDescent="0.35">
      <c r="B169" s="7" t="s">
        <v>22</v>
      </c>
      <c r="D169" s="3" t="s">
        <v>172</v>
      </c>
      <c r="F169" s="7" t="s">
        <v>19</v>
      </c>
      <c r="H169" s="7" t="s">
        <v>17</v>
      </c>
      <c r="J169" s="7" t="s">
        <v>18</v>
      </c>
    </row>
    <row r="170" spans="1:18" x14ac:dyDescent="0.35">
      <c r="A170" s="12" t="s">
        <v>173</v>
      </c>
      <c r="B170" s="12" t="s">
        <v>172</v>
      </c>
    </row>
    <row r="171" spans="1:18" x14ac:dyDescent="0.35">
      <c r="D171" s="12" t="s">
        <v>7</v>
      </c>
      <c r="H171" s="12" t="s">
        <v>23</v>
      </c>
    </row>
    <row r="172" spans="1:18" x14ac:dyDescent="0.35">
      <c r="D172" s="13" t="s">
        <v>174</v>
      </c>
      <c r="H172" s="12" t="s">
        <v>68</v>
      </c>
      <c r="I172" s="12" t="s">
        <v>68</v>
      </c>
      <c r="J172" s="12" t="s">
        <v>181</v>
      </c>
      <c r="K172" s="12" t="s">
        <v>180</v>
      </c>
      <c r="L172" s="12" t="s">
        <v>220</v>
      </c>
      <c r="N172" s="12" t="s">
        <v>221</v>
      </c>
    </row>
    <row r="173" spans="1:18" x14ac:dyDescent="0.35">
      <c r="D173" s="12" t="s">
        <v>175</v>
      </c>
      <c r="H173" s="12" t="s">
        <v>68</v>
      </c>
    </row>
    <row r="174" spans="1:18" x14ac:dyDescent="0.35">
      <c r="D174" s="13" t="s">
        <v>176</v>
      </c>
      <c r="H174" s="12" t="s">
        <v>36</v>
      </c>
    </row>
    <row r="175" spans="1:18" x14ac:dyDescent="0.35">
      <c r="D175" s="13" t="s">
        <v>11</v>
      </c>
      <c r="H175" s="12" t="s">
        <v>68</v>
      </c>
    </row>
    <row r="176" spans="1:18" x14ac:dyDescent="0.35">
      <c r="D176" s="13" t="s">
        <v>135</v>
      </c>
      <c r="H176" s="5" t="s">
        <v>146</v>
      </c>
    </row>
    <row r="177" spans="1:15" x14ac:dyDescent="0.35">
      <c r="D177" s="13" t="s">
        <v>177</v>
      </c>
      <c r="H177" s="12" t="s">
        <v>145</v>
      </c>
    </row>
    <row r="178" spans="1:15" x14ac:dyDescent="0.35">
      <c r="D178" s="13" t="s">
        <v>178</v>
      </c>
      <c r="H178" s="12" t="s">
        <v>186</v>
      </c>
      <c r="J178" s="12" t="s">
        <v>182</v>
      </c>
      <c r="K178" s="12" t="s">
        <v>183</v>
      </c>
      <c r="L178" s="12" t="s">
        <v>184</v>
      </c>
      <c r="M178" s="12" t="s">
        <v>185</v>
      </c>
      <c r="N178" s="12" t="s">
        <v>186</v>
      </c>
      <c r="O178" s="12" t="s">
        <v>187</v>
      </c>
    </row>
    <row r="179" spans="1:15" x14ac:dyDescent="0.35">
      <c r="D179" s="13" t="s">
        <v>179</v>
      </c>
      <c r="H179" s="5">
        <v>0.05</v>
      </c>
    </row>
    <row r="180" spans="1:15" x14ac:dyDescent="0.35">
      <c r="D180" s="12" t="s">
        <v>15</v>
      </c>
      <c r="H180" s="12" t="s">
        <v>36</v>
      </c>
    </row>
    <row r="181" spans="1:15" x14ac:dyDescent="0.35">
      <c r="D181" s="12" t="s">
        <v>16</v>
      </c>
      <c r="H181" s="12" t="s">
        <v>188</v>
      </c>
    </row>
    <row r="182" spans="1:15" x14ac:dyDescent="0.35">
      <c r="A182" s="12" t="s">
        <v>205</v>
      </c>
      <c r="B182" s="12"/>
    </row>
    <row r="186" spans="1:15" ht="18.5" x14ac:dyDescent="0.45">
      <c r="D186" s="6" t="s">
        <v>191</v>
      </c>
    </row>
    <row r="187" spans="1:15" x14ac:dyDescent="0.35">
      <c r="B187" s="7" t="s">
        <v>22</v>
      </c>
      <c r="D187" s="3" t="s">
        <v>191</v>
      </c>
      <c r="F187" s="7" t="s">
        <v>19</v>
      </c>
      <c r="H187" s="7" t="s">
        <v>17</v>
      </c>
      <c r="J187" s="7" t="s">
        <v>18</v>
      </c>
    </row>
    <row r="188" spans="1:15" x14ac:dyDescent="0.35">
      <c r="A188" s="12" t="s">
        <v>173</v>
      </c>
      <c r="B188" s="12" t="s">
        <v>191</v>
      </c>
      <c r="D188" s="12"/>
      <c r="K188" s="12" t="s">
        <v>209</v>
      </c>
      <c r="L188" s="12" t="s">
        <v>210</v>
      </c>
      <c r="M188" s="12" t="s">
        <v>211</v>
      </c>
      <c r="N188" s="12" t="s">
        <v>212</v>
      </c>
    </row>
    <row r="189" spans="1:15" x14ac:dyDescent="0.35">
      <c r="D189" s="12" t="s">
        <v>192</v>
      </c>
      <c r="H189" s="12" t="s">
        <v>192</v>
      </c>
      <c r="I189" s="12" t="s">
        <v>223</v>
      </c>
      <c r="J189" s="12"/>
      <c r="K189" s="12"/>
    </row>
    <row r="190" spans="1:15" x14ac:dyDescent="0.35">
      <c r="D190" s="12" t="s">
        <v>193</v>
      </c>
      <c r="H190" s="12" t="s">
        <v>193</v>
      </c>
    </row>
    <row r="191" spans="1:15" x14ac:dyDescent="0.35">
      <c r="D191" s="12" t="s">
        <v>194</v>
      </c>
      <c r="F191" s="12"/>
      <c r="H191" s="12" t="s">
        <v>194</v>
      </c>
    </row>
    <row r="192" spans="1:15" x14ac:dyDescent="0.35">
      <c r="D192" s="13" t="s">
        <v>195</v>
      </c>
      <c r="H192" s="5">
        <v>0.05</v>
      </c>
    </row>
    <row r="193" spans="1:10" x14ac:dyDescent="0.35">
      <c r="D193" s="13" t="s">
        <v>196</v>
      </c>
      <c r="H193" s="5">
        <v>1</v>
      </c>
    </row>
    <row r="194" spans="1:10" x14ac:dyDescent="0.35">
      <c r="D194" s="13" t="s">
        <v>197</v>
      </c>
      <c r="H194" s="12" t="s">
        <v>68</v>
      </c>
      <c r="J194" s="12" t="s">
        <v>213</v>
      </c>
    </row>
    <row r="195" spans="1:10" x14ac:dyDescent="0.35">
      <c r="D195" s="13" t="s">
        <v>198</v>
      </c>
      <c r="H195" s="12" t="s">
        <v>68</v>
      </c>
    </row>
    <row r="196" spans="1:10" x14ac:dyDescent="0.35">
      <c r="D196" s="13" t="s">
        <v>199</v>
      </c>
      <c r="H196" s="12" t="s">
        <v>68</v>
      </c>
    </row>
    <row r="197" spans="1:10" x14ac:dyDescent="0.35">
      <c r="D197" s="13" t="s">
        <v>200</v>
      </c>
      <c r="H197" s="12" t="s">
        <v>206</v>
      </c>
    </row>
    <row r="198" spans="1:10" x14ac:dyDescent="0.35">
      <c r="D198" s="13" t="s">
        <v>201</v>
      </c>
      <c r="H198" s="12" t="s">
        <v>207</v>
      </c>
    </row>
    <row r="199" spans="1:10" x14ac:dyDescent="0.35">
      <c r="D199" s="12" t="s">
        <v>202</v>
      </c>
      <c r="H199" s="12" t="s">
        <v>145</v>
      </c>
    </row>
    <row r="200" spans="1:10" x14ac:dyDescent="0.35">
      <c r="D200" s="12" t="s">
        <v>203</v>
      </c>
      <c r="H200" s="12" t="s">
        <v>145</v>
      </c>
    </row>
    <row r="201" spans="1:10" x14ac:dyDescent="0.35">
      <c r="D201" s="12" t="s">
        <v>59</v>
      </c>
      <c r="H201" s="12" t="s">
        <v>36</v>
      </c>
    </row>
    <row r="202" spans="1:10" x14ac:dyDescent="0.35">
      <c r="D202" s="13" t="s">
        <v>204</v>
      </c>
      <c r="H202" s="12" t="s">
        <v>208</v>
      </c>
    </row>
    <row r="203" spans="1:10" x14ac:dyDescent="0.35">
      <c r="A203" s="12" t="s">
        <v>205</v>
      </c>
    </row>
    <row r="207" spans="1:10" ht="18.5" x14ac:dyDescent="0.45">
      <c r="D207" s="6" t="s">
        <v>224</v>
      </c>
    </row>
    <row r="208" spans="1:10" x14ac:dyDescent="0.35">
      <c r="B208" s="7" t="s">
        <v>22</v>
      </c>
      <c r="D208" s="3" t="s">
        <v>224</v>
      </c>
      <c r="F208" s="7" t="s">
        <v>19</v>
      </c>
      <c r="H208" s="7" t="s">
        <v>17</v>
      </c>
      <c r="J208" s="7" t="s">
        <v>18</v>
      </c>
    </row>
    <row r="209" spans="1:14" x14ac:dyDescent="0.35">
      <c r="A209" s="12" t="s">
        <v>173</v>
      </c>
      <c r="B209" s="12" t="s">
        <v>224</v>
      </c>
      <c r="K209" s="12" t="s">
        <v>209</v>
      </c>
      <c r="L209" s="12" t="s">
        <v>210</v>
      </c>
      <c r="M209" s="12" t="s">
        <v>211</v>
      </c>
      <c r="N209" s="12" t="s">
        <v>212</v>
      </c>
    </row>
    <row r="210" spans="1:14" x14ac:dyDescent="0.35">
      <c r="D210" s="12" t="s">
        <v>225</v>
      </c>
      <c r="H210" s="12" t="s">
        <v>225</v>
      </c>
      <c r="K210" s="12"/>
    </row>
    <row r="211" spans="1:14" x14ac:dyDescent="0.35">
      <c r="D211" s="13" t="s">
        <v>50</v>
      </c>
      <c r="H211" s="12" t="s">
        <v>50</v>
      </c>
    </row>
    <row r="212" spans="1:14" x14ac:dyDescent="0.35">
      <c r="D212" s="12" t="s">
        <v>194</v>
      </c>
      <c r="H212" s="12" t="s">
        <v>194</v>
      </c>
    </row>
    <row r="213" spans="1:14" x14ac:dyDescent="0.35">
      <c r="D213" s="13" t="s">
        <v>52</v>
      </c>
      <c r="H213" s="12" t="s">
        <v>54</v>
      </c>
    </row>
    <row r="214" spans="1:14" x14ac:dyDescent="0.35">
      <c r="D214" s="13" t="s">
        <v>197</v>
      </c>
      <c r="H214" s="12" t="s">
        <v>68</v>
      </c>
    </row>
    <row r="215" spans="1:14" x14ac:dyDescent="0.35">
      <c r="D215" s="13" t="s">
        <v>226</v>
      </c>
      <c r="H215" s="12" t="s">
        <v>227</v>
      </c>
    </row>
    <row r="216" spans="1:14" x14ac:dyDescent="0.35">
      <c r="D216" s="12" t="s">
        <v>59</v>
      </c>
      <c r="H216" s="12" t="s">
        <v>36</v>
      </c>
    </row>
    <row r="217" spans="1:14" x14ac:dyDescent="0.35">
      <c r="D217" s="12" t="s">
        <v>60</v>
      </c>
      <c r="H217" s="12" t="s">
        <v>228</v>
      </c>
    </row>
    <row r="218" spans="1:14" x14ac:dyDescent="0.35">
      <c r="A218" s="12" t="s">
        <v>205</v>
      </c>
    </row>
    <row r="222" spans="1:14" ht="18.5" x14ac:dyDescent="0.45">
      <c r="D222" s="6" t="s">
        <v>229</v>
      </c>
    </row>
    <row r="223" spans="1:14" x14ac:dyDescent="0.35">
      <c r="B223" s="7" t="s">
        <v>22</v>
      </c>
      <c r="D223" s="3" t="s">
        <v>229</v>
      </c>
      <c r="F223" s="7" t="s">
        <v>19</v>
      </c>
      <c r="H223" s="7" t="s">
        <v>17</v>
      </c>
      <c r="J223" s="7" t="s">
        <v>18</v>
      </c>
    </row>
    <row r="224" spans="1:14" x14ac:dyDescent="0.35">
      <c r="A224" s="12" t="s">
        <v>173</v>
      </c>
      <c r="B224" s="12" t="s">
        <v>229</v>
      </c>
      <c r="K224" s="12" t="s">
        <v>209</v>
      </c>
      <c r="L224" s="12" t="s">
        <v>210</v>
      </c>
      <c r="M224" s="12" t="s">
        <v>211</v>
      </c>
      <c r="N224" s="12" t="s">
        <v>212</v>
      </c>
    </row>
    <row r="225" spans="1:10" x14ac:dyDescent="0.35">
      <c r="D225" s="12" t="s">
        <v>193</v>
      </c>
      <c r="H225" s="12" t="s">
        <v>193</v>
      </c>
      <c r="I225" s="12" t="s">
        <v>223</v>
      </c>
      <c r="J225" s="12"/>
    </row>
    <row r="226" spans="1:10" x14ac:dyDescent="0.35">
      <c r="D226" s="12" t="s">
        <v>194</v>
      </c>
      <c r="H226" s="12" t="s">
        <v>194</v>
      </c>
    </row>
    <row r="227" spans="1:10" x14ac:dyDescent="0.35">
      <c r="D227" s="12" t="s">
        <v>55</v>
      </c>
      <c r="H227" s="12" t="s">
        <v>36</v>
      </c>
    </row>
    <row r="228" spans="1:10" x14ac:dyDescent="0.35">
      <c r="D228" s="13" t="s">
        <v>66</v>
      </c>
      <c r="H228" s="12" t="s">
        <v>236</v>
      </c>
    </row>
    <row r="229" spans="1:10" x14ac:dyDescent="0.35">
      <c r="D229" s="12" t="s">
        <v>56</v>
      </c>
      <c r="H229" s="12" t="s">
        <v>82</v>
      </c>
    </row>
    <row r="230" spans="1:10" x14ac:dyDescent="0.35">
      <c r="D230" s="13" t="s">
        <v>200</v>
      </c>
      <c r="H230" s="12" t="s">
        <v>232</v>
      </c>
    </row>
    <row r="231" spans="1:10" x14ac:dyDescent="0.35">
      <c r="D231" s="13" t="s">
        <v>201</v>
      </c>
      <c r="H231" s="12" t="s">
        <v>233</v>
      </c>
    </row>
    <row r="232" spans="1:10" x14ac:dyDescent="0.35">
      <c r="D232" s="13" t="s">
        <v>64</v>
      </c>
      <c r="H232" s="12" t="s">
        <v>68</v>
      </c>
    </row>
    <row r="233" spans="1:10" x14ac:dyDescent="0.35">
      <c r="D233" s="13" t="s">
        <v>230</v>
      </c>
      <c r="H233" s="12" t="s">
        <v>234</v>
      </c>
    </row>
    <row r="234" spans="1:10" x14ac:dyDescent="0.35">
      <c r="D234" s="13" t="s">
        <v>231</v>
      </c>
      <c r="H234" s="12" t="s">
        <v>235</v>
      </c>
    </row>
    <row r="235" spans="1:10" x14ac:dyDescent="0.35">
      <c r="A235" s="12" t="s">
        <v>205</v>
      </c>
    </row>
    <row r="239" spans="1:10" ht="18.5" x14ac:dyDescent="0.45">
      <c r="D239" s="6" t="s">
        <v>237</v>
      </c>
    </row>
    <row r="240" spans="1:10" x14ac:dyDescent="0.35">
      <c r="B240" s="7" t="s">
        <v>22</v>
      </c>
      <c r="D240" s="3" t="s">
        <v>237</v>
      </c>
      <c r="F240" s="7" t="s">
        <v>19</v>
      </c>
      <c r="H240" s="7" t="s">
        <v>17</v>
      </c>
      <c r="J240" s="7" t="s">
        <v>18</v>
      </c>
    </row>
    <row r="241" spans="1:14" x14ac:dyDescent="0.35">
      <c r="A241" s="12" t="s">
        <v>173</v>
      </c>
      <c r="B241" s="12" t="s">
        <v>238</v>
      </c>
      <c r="K241" s="12" t="s">
        <v>209</v>
      </c>
      <c r="L241" s="12" t="s">
        <v>210</v>
      </c>
      <c r="M241" s="12" t="s">
        <v>211</v>
      </c>
    </row>
    <row r="242" spans="1:14" x14ac:dyDescent="0.35">
      <c r="D242" s="12" t="s">
        <v>239</v>
      </c>
      <c r="H242" s="12" t="s">
        <v>239</v>
      </c>
      <c r="I242" s="12" t="s">
        <v>245</v>
      </c>
    </row>
    <row r="243" spans="1:14" x14ac:dyDescent="0.35">
      <c r="D243" s="12" t="s">
        <v>240</v>
      </c>
      <c r="H243" s="12" t="s">
        <v>194</v>
      </c>
      <c r="I243" s="12" t="s">
        <v>246</v>
      </c>
    </row>
    <row r="244" spans="1:14" x14ac:dyDescent="0.35">
      <c r="D244" s="12" t="s">
        <v>55</v>
      </c>
      <c r="H244" s="12" t="s">
        <v>36</v>
      </c>
      <c r="I244" s="12" t="s">
        <v>247</v>
      </c>
    </row>
    <row r="245" spans="1:14" x14ac:dyDescent="0.35">
      <c r="D245" s="12" t="s">
        <v>66</v>
      </c>
      <c r="H245" s="12" t="s">
        <v>243</v>
      </c>
    </row>
    <row r="246" spans="1:14" x14ac:dyDescent="0.35">
      <c r="D246" s="12" t="s">
        <v>56</v>
      </c>
      <c r="H246" s="12" t="s">
        <v>82</v>
      </c>
    </row>
    <row r="247" spans="1:14" x14ac:dyDescent="0.35">
      <c r="D247" s="13" t="s">
        <v>80</v>
      </c>
      <c r="H247" s="12" t="s">
        <v>244</v>
      </c>
    </row>
    <row r="248" spans="1:14" x14ac:dyDescent="0.35">
      <c r="D248" s="13" t="s">
        <v>241</v>
      </c>
      <c r="H248" s="5">
        <v>1</v>
      </c>
    </row>
    <row r="249" spans="1:14" x14ac:dyDescent="0.35">
      <c r="D249" s="13" t="s">
        <v>242</v>
      </c>
      <c r="H249" s="5">
        <v>1</v>
      </c>
    </row>
    <row r="250" spans="1:14" x14ac:dyDescent="0.35">
      <c r="A250" s="12" t="s">
        <v>205</v>
      </c>
    </row>
    <row r="254" spans="1:14" ht="18.5" x14ac:dyDescent="0.45">
      <c r="D254" s="6" t="s">
        <v>248</v>
      </c>
    </row>
    <row r="255" spans="1:14" x14ac:dyDescent="0.35">
      <c r="B255" s="7" t="s">
        <v>22</v>
      </c>
      <c r="D255" s="3" t="s">
        <v>248</v>
      </c>
      <c r="F255" s="7" t="s">
        <v>19</v>
      </c>
      <c r="H255" s="7" t="s">
        <v>17</v>
      </c>
      <c r="J255" s="7" t="s">
        <v>18</v>
      </c>
    </row>
    <row r="256" spans="1:14" x14ac:dyDescent="0.35">
      <c r="A256" s="12" t="s">
        <v>173</v>
      </c>
      <c r="B256" s="12" t="s">
        <v>229</v>
      </c>
      <c r="K256" s="12" t="s">
        <v>209</v>
      </c>
      <c r="L256" s="12" t="s">
        <v>210</v>
      </c>
      <c r="M256" s="12" t="s">
        <v>211</v>
      </c>
      <c r="N256" s="12" t="s">
        <v>212</v>
      </c>
    </row>
    <row r="257" spans="1:12" x14ac:dyDescent="0.35">
      <c r="D257" s="12" t="s">
        <v>193</v>
      </c>
      <c r="H257" s="12" t="s">
        <v>249</v>
      </c>
      <c r="I257" s="12" t="s">
        <v>252</v>
      </c>
      <c r="K257" s="12"/>
    </row>
    <row r="258" spans="1:12" x14ac:dyDescent="0.35">
      <c r="D258" s="12" t="s">
        <v>194</v>
      </c>
      <c r="H258" s="12" t="s">
        <v>194</v>
      </c>
    </row>
    <row r="259" spans="1:12" x14ac:dyDescent="0.35">
      <c r="D259" s="12" t="s">
        <v>55</v>
      </c>
      <c r="H259" s="12" t="s">
        <v>36</v>
      </c>
    </row>
    <row r="260" spans="1:12" x14ac:dyDescent="0.35">
      <c r="D260" s="17" t="s">
        <v>66</v>
      </c>
      <c r="H260" s="12" t="s">
        <v>265</v>
      </c>
      <c r="I260" s="12" t="s">
        <v>263</v>
      </c>
      <c r="J260" s="12" t="s">
        <v>266</v>
      </c>
      <c r="K260" s="12" t="s">
        <v>264</v>
      </c>
      <c r="L260" s="12" t="s">
        <v>267</v>
      </c>
    </row>
    <row r="261" spans="1:12" x14ac:dyDescent="0.35">
      <c r="D261" s="12" t="s">
        <v>56</v>
      </c>
      <c r="H261" s="12" t="s">
        <v>82</v>
      </c>
    </row>
    <row r="262" spans="1:12" x14ac:dyDescent="0.35">
      <c r="D262" s="13" t="s">
        <v>200</v>
      </c>
      <c r="H262" s="12" t="s">
        <v>250</v>
      </c>
      <c r="I262" s="12" t="s">
        <v>255</v>
      </c>
      <c r="J262" s="12" t="s">
        <v>259</v>
      </c>
      <c r="K262" s="12" t="s">
        <v>258</v>
      </c>
      <c r="L262" s="12" t="s">
        <v>232</v>
      </c>
    </row>
    <row r="263" spans="1:12" x14ac:dyDescent="0.35">
      <c r="D263" s="13" t="s">
        <v>201</v>
      </c>
      <c r="H263" s="12" t="s">
        <v>233</v>
      </c>
    </row>
    <row r="264" spans="1:12" x14ac:dyDescent="0.35">
      <c r="D264" s="13" t="s">
        <v>64</v>
      </c>
      <c r="H264" s="12" t="s">
        <v>254</v>
      </c>
      <c r="I264" s="12" t="s">
        <v>256</v>
      </c>
      <c r="J264" s="12" t="s">
        <v>253</v>
      </c>
      <c r="K264" s="12" t="s">
        <v>260</v>
      </c>
      <c r="L264" s="5" t="s">
        <v>68</v>
      </c>
    </row>
    <row r="265" spans="1:12" x14ac:dyDescent="0.35">
      <c r="D265" s="13" t="s">
        <v>230</v>
      </c>
      <c r="H265" s="12" t="s">
        <v>251</v>
      </c>
      <c r="I265" s="12" t="s">
        <v>257</v>
      </c>
      <c r="J265" s="12" t="s">
        <v>262</v>
      </c>
      <c r="K265" s="12" t="s">
        <v>261</v>
      </c>
      <c r="L265" s="12" t="s">
        <v>234</v>
      </c>
    </row>
    <row r="266" spans="1:12" x14ac:dyDescent="0.35">
      <c r="D266" s="13" t="s">
        <v>231</v>
      </c>
      <c r="H266" s="12" t="s">
        <v>235</v>
      </c>
    </row>
    <row r="267" spans="1:12" x14ac:dyDescent="0.35">
      <c r="A267" s="12" t="s">
        <v>205</v>
      </c>
    </row>
    <row r="271" spans="1:12" ht="18.5" x14ac:dyDescent="0.45">
      <c r="D271" s="6" t="s">
        <v>269</v>
      </c>
    </row>
    <row r="272" spans="1:12" x14ac:dyDescent="0.35">
      <c r="B272" s="7" t="s">
        <v>22</v>
      </c>
      <c r="D272" s="3" t="s">
        <v>248</v>
      </c>
      <c r="F272" s="7" t="s">
        <v>19</v>
      </c>
      <c r="H272" s="7" t="s">
        <v>17</v>
      </c>
      <c r="J272" s="7" t="s">
        <v>18</v>
      </c>
    </row>
    <row r="273" spans="1:8" x14ac:dyDescent="0.35">
      <c r="A273" s="12" t="s">
        <v>270</v>
      </c>
      <c r="B273" s="12" t="s">
        <v>268</v>
      </c>
    </row>
    <row r="274" spans="1:8" x14ac:dyDescent="0.35">
      <c r="D274" s="12" t="s">
        <v>7</v>
      </c>
      <c r="H274" s="12" t="s">
        <v>23</v>
      </c>
    </row>
    <row r="275" spans="1:8" x14ac:dyDescent="0.35">
      <c r="D275" s="12" t="s">
        <v>50</v>
      </c>
      <c r="H275" s="12" t="s">
        <v>93</v>
      </c>
    </row>
    <row r="276" spans="1:8" x14ac:dyDescent="0.35">
      <c r="D276" s="12" t="s">
        <v>271</v>
      </c>
      <c r="H276" s="12" t="s">
        <v>282</v>
      </c>
    </row>
    <row r="277" spans="1:8" x14ac:dyDescent="0.35">
      <c r="D277" s="13" t="s">
        <v>272</v>
      </c>
      <c r="H277" s="5">
        <v>1</v>
      </c>
    </row>
    <row r="278" spans="1:8" x14ac:dyDescent="0.35">
      <c r="D278" s="13" t="s">
        <v>273</v>
      </c>
      <c r="H278" s="12" t="s">
        <v>68</v>
      </c>
    </row>
    <row r="279" spans="1:8" x14ac:dyDescent="0.35">
      <c r="D279" s="13" t="s">
        <v>274</v>
      </c>
      <c r="H279" s="12" t="s">
        <v>36</v>
      </c>
    </row>
    <row r="280" spans="1:8" x14ac:dyDescent="0.35">
      <c r="D280" s="13" t="s">
        <v>11</v>
      </c>
      <c r="H280" s="5">
        <v>5</v>
      </c>
    </row>
    <row r="281" spans="1:8" x14ac:dyDescent="0.35">
      <c r="D281" s="13" t="s">
        <v>275</v>
      </c>
      <c r="H281" s="12" t="s">
        <v>145</v>
      </c>
    </row>
    <row r="282" spans="1:8" x14ac:dyDescent="0.35">
      <c r="D282" s="12" t="s">
        <v>276</v>
      </c>
      <c r="H282" s="12" t="s">
        <v>36</v>
      </c>
    </row>
    <row r="283" spans="1:8" x14ac:dyDescent="0.35">
      <c r="D283" s="12" t="s">
        <v>277</v>
      </c>
      <c r="H283" s="12" t="s">
        <v>23</v>
      </c>
    </row>
    <row r="284" spans="1:8" x14ac:dyDescent="0.35">
      <c r="D284" s="12" t="s">
        <v>278</v>
      </c>
      <c r="H284" s="12" t="s">
        <v>93</v>
      </c>
    </row>
    <row r="285" spans="1:8" x14ac:dyDescent="0.35">
      <c r="D285" s="12" t="s">
        <v>279</v>
      </c>
      <c r="H285" s="12" t="s">
        <v>36</v>
      </c>
    </row>
    <row r="286" spans="1:8" x14ac:dyDescent="0.35">
      <c r="D286" s="12" t="s">
        <v>15</v>
      </c>
      <c r="H286" s="12" t="s">
        <v>36</v>
      </c>
    </row>
    <row r="287" spans="1:8" x14ac:dyDescent="0.35">
      <c r="D287" s="12" t="s">
        <v>280</v>
      </c>
      <c r="H287" s="12" t="s">
        <v>283</v>
      </c>
    </row>
    <row r="288" spans="1:8" x14ac:dyDescent="0.35">
      <c r="A288" s="12" t="s">
        <v>281</v>
      </c>
    </row>
    <row r="292" spans="1:14" ht="18.5" x14ac:dyDescent="0.45">
      <c r="D292" s="6" t="s">
        <v>284</v>
      </c>
    </row>
    <row r="293" spans="1:14" x14ac:dyDescent="0.35">
      <c r="B293" s="7" t="s">
        <v>22</v>
      </c>
      <c r="D293" s="3" t="s">
        <v>284</v>
      </c>
      <c r="F293" s="7" t="s">
        <v>19</v>
      </c>
      <c r="H293" s="7" t="s">
        <v>17</v>
      </c>
      <c r="J293" s="7" t="s">
        <v>18</v>
      </c>
    </row>
    <row r="294" spans="1:14" x14ac:dyDescent="0.35">
      <c r="A294" s="12" t="s">
        <v>173</v>
      </c>
      <c r="B294" s="12" t="s">
        <v>224</v>
      </c>
      <c r="K294" s="12" t="s">
        <v>209</v>
      </c>
      <c r="L294" s="12" t="s">
        <v>210</v>
      </c>
      <c r="M294" s="12" t="s">
        <v>286</v>
      </c>
      <c r="N294" s="12" t="s">
        <v>287</v>
      </c>
    </row>
    <row r="295" spans="1:14" x14ac:dyDescent="0.35">
      <c r="D295" s="12" t="s">
        <v>225</v>
      </c>
      <c r="H295" s="12" t="s">
        <v>225</v>
      </c>
      <c r="K295" s="12"/>
    </row>
    <row r="296" spans="1:14" x14ac:dyDescent="0.35">
      <c r="D296" s="13" t="s">
        <v>50</v>
      </c>
      <c r="H296" s="12" t="s">
        <v>50</v>
      </c>
    </row>
    <row r="297" spans="1:14" x14ac:dyDescent="0.35">
      <c r="D297" s="12" t="s">
        <v>194</v>
      </c>
      <c r="H297" s="12" t="s">
        <v>194</v>
      </c>
    </row>
    <row r="298" spans="1:14" x14ac:dyDescent="0.35">
      <c r="D298" s="13" t="s">
        <v>52</v>
      </c>
      <c r="H298" s="12" t="s">
        <v>54</v>
      </c>
    </row>
    <row r="299" spans="1:14" x14ac:dyDescent="0.35">
      <c r="D299" s="13" t="s">
        <v>197</v>
      </c>
      <c r="H299" s="12" t="s">
        <v>68</v>
      </c>
    </row>
    <row r="300" spans="1:14" x14ac:dyDescent="0.35">
      <c r="D300" s="13" t="s">
        <v>226</v>
      </c>
      <c r="H300" s="12" t="s">
        <v>285</v>
      </c>
    </row>
    <row r="301" spans="1:14" x14ac:dyDescent="0.35">
      <c r="D301" s="12" t="s">
        <v>59</v>
      </c>
      <c r="H301" s="12" t="s">
        <v>36</v>
      </c>
    </row>
    <row r="302" spans="1:14" x14ac:dyDescent="0.35">
      <c r="D302" s="12" t="s">
        <v>60</v>
      </c>
      <c r="F302" s="12"/>
      <c r="H302" s="12" t="s">
        <v>228</v>
      </c>
    </row>
    <row r="303" spans="1:14" x14ac:dyDescent="0.35">
      <c r="A303" s="12" t="s">
        <v>205</v>
      </c>
    </row>
    <row r="307" spans="1:14" ht="18.5" x14ac:dyDescent="0.45">
      <c r="D307" s="6" t="s">
        <v>293</v>
      </c>
    </row>
    <row r="308" spans="1:14" x14ac:dyDescent="0.35">
      <c r="B308" s="7" t="s">
        <v>22</v>
      </c>
      <c r="D308" s="3" t="s">
        <v>293</v>
      </c>
      <c r="F308" s="7" t="s">
        <v>19</v>
      </c>
      <c r="H308" s="7" t="s">
        <v>17</v>
      </c>
      <c r="J308" s="7" t="s">
        <v>18</v>
      </c>
    </row>
    <row r="309" spans="1:14" x14ac:dyDescent="0.35">
      <c r="A309" s="12" t="s">
        <v>173</v>
      </c>
      <c r="B309" s="12" t="s">
        <v>293</v>
      </c>
      <c r="K309" s="12" t="s">
        <v>209</v>
      </c>
      <c r="L309" s="12" t="s">
        <v>210</v>
      </c>
      <c r="M309" s="12" t="s">
        <v>211</v>
      </c>
      <c r="N309" s="12" t="s">
        <v>212</v>
      </c>
    </row>
    <row r="310" spans="1:14" x14ac:dyDescent="0.35">
      <c r="D310" s="12" t="s">
        <v>225</v>
      </c>
      <c r="H310" s="12" t="s">
        <v>225</v>
      </c>
    </row>
    <row r="311" spans="1:14" x14ac:dyDescent="0.35">
      <c r="D311" s="12" t="s">
        <v>294</v>
      </c>
      <c r="H311" s="12" t="s">
        <v>294</v>
      </c>
      <c r="I311" s="12" t="s">
        <v>297</v>
      </c>
    </row>
    <row r="312" spans="1:14" x14ac:dyDescent="0.35">
      <c r="D312" s="12" t="s">
        <v>55</v>
      </c>
      <c r="H312" s="12" t="s">
        <v>36</v>
      </c>
    </row>
    <row r="313" spans="1:14" x14ac:dyDescent="0.35">
      <c r="D313" s="12" t="s">
        <v>66</v>
      </c>
      <c r="F313" s="12"/>
      <c r="H313" s="12" t="s">
        <v>298</v>
      </c>
    </row>
    <row r="314" spans="1:14" x14ac:dyDescent="0.35">
      <c r="D314" s="12" t="s">
        <v>56</v>
      </c>
      <c r="H314" s="12" t="s">
        <v>82</v>
      </c>
    </row>
    <row r="315" spans="1:14" x14ac:dyDescent="0.35">
      <c r="D315" s="12" t="s">
        <v>76</v>
      </c>
      <c r="H315" s="5">
        <v>1</v>
      </c>
    </row>
    <row r="316" spans="1:14" x14ac:dyDescent="0.35">
      <c r="D316" s="12" t="s">
        <v>77</v>
      </c>
      <c r="H316" s="5">
        <v>2</v>
      </c>
    </row>
    <row r="317" spans="1:14" x14ac:dyDescent="0.35">
      <c r="D317" s="12" t="s">
        <v>78</v>
      </c>
      <c r="H317" s="12" t="s">
        <v>36</v>
      </c>
    </row>
    <row r="318" spans="1:14" x14ac:dyDescent="0.35">
      <c r="D318" s="12" t="s">
        <v>79</v>
      </c>
      <c r="H318" s="12" t="s">
        <v>36</v>
      </c>
    </row>
    <row r="319" spans="1:14" x14ac:dyDescent="0.35">
      <c r="D319" s="12" t="s">
        <v>295</v>
      </c>
      <c r="H319" s="12" t="s">
        <v>295</v>
      </c>
    </row>
    <row r="320" spans="1:14" x14ac:dyDescent="0.35">
      <c r="D320" s="12" t="s">
        <v>83</v>
      </c>
      <c r="H320" s="5">
        <v>3</v>
      </c>
    </row>
    <row r="321" spans="1:8" x14ac:dyDescent="0.35">
      <c r="D321" s="12" t="s">
        <v>61</v>
      </c>
      <c r="H321" s="12" t="s">
        <v>68</v>
      </c>
    </row>
    <row r="322" spans="1:8" x14ac:dyDescent="0.35">
      <c r="D322" s="12" t="s">
        <v>296</v>
      </c>
      <c r="H322" s="5">
        <v>0.7</v>
      </c>
    </row>
    <row r="323" spans="1:8" x14ac:dyDescent="0.35">
      <c r="A323" s="12" t="s">
        <v>205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304</vt:i4>
      </vt:variant>
    </vt:vector>
  </HeadingPairs>
  <TitlesOfParts>
    <vt:vector size="323" baseType="lpstr">
      <vt:lpstr>featuredata</vt:lpstr>
      <vt:lpstr>sampledata</vt:lpstr>
      <vt:lpstr>metabolitedata</vt:lpstr>
      <vt:lpstr>featuredata.log</vt:lpstr>
      <vt:lpstr>featuredata.nomissingnolog</vt:lpstr>
      <vt:lpstr>featuredata.nomissing</vt:lpstr>
      <vt:lpstr>sampledata.nomissing</vt:lpstr>
      <vt:lpstr>metabolitedata.nomissing</vt:lpstr>
      <vt:lpstr>plots</vt:lpstr>
      <vt:lpstr>settings</vt:lpstr>
      <vt:lpstr>norm1</vt:lpstr>
      <vt:lpstr>norm1LMresults</vt:lpstr>
      <vt:lpstr>norm2</vt:lpstr>
      <vt:lpstr>norm2LMresults</vt:lpstr>
      <vt:lpstr>norm3</vt:lpstr>
      <vt:lpstr>norm3LMresults</vt:lpstr>
      <vt:lpstr>norm4</vt:lpstr>
      <vt:lpstr>norm4LMresults</vt:lpstr>
      <vt:lpstr>rfuncsettings</vt:lpstr>
      <vt:lpstr>CompareCorrHistCall</vt:lpstr>
      <vt:lpstr>CompareCorrHistCol</vt:lpstr>
      <vt:lpstr>CompareCorrHistCorrName</vt:lpstr>
      <vt:lpstr>CompareCorrHistCorrPYlim</vt:lpstr>
      <vt:lpstr>CompareCorrHistCorrXlab</vt:lpstr>
      <vt:lpstr>CompareCorrHistCorrXlim</vt:lpstr>
      <vt:lpstr>CompareCorrHistCorrYlim</vt:lpstr>
      <vt:lpstr>CompareCorrHistExpEnd</vt:lpstr>
      <vt:lpstr>CompareCorrHistExpStart</vt:lpstr>
      <vt:lpstr>CompareCorrHistIncPval</vt:lpstr>
      <vt:lpstr>CompareCorrHistPlot1</vt:lpstr>
      <vt:lpstr>CompareCorrHistPlot2</vt:lpstr>
      <vt:lpstr>CompareCorrHistPlot3</vt:lpstr>
      <vt:lpstr>CompareCorrHistPlot4</vt:lpstr>
      <vt:lpstr>CompareCorrHistPName</vt:lpstr>
      <vt:lpstr>CompareCorrHistPXlab</vt:lpstr>
      <vt:lpstr>CompareCorrHistPXlim</vt:lpstr>
      <vt:lpstr>CompareCorrHistPYlim</vt:lpstr>
      <vt:lpstr>CompareCorrHistTotalCall</vt:lpstr>
      <vt:lpstr>ComparePcaPlotsCall</vt:lpstr>
      <vt:lpstr>ComparePcaPlotsExpEnd</vt:lpstr>
      <vt:lpstr>ComparePcaPlotsExpStart</vt:lpstr>
      <vt:lpstr>ComparePcaPlotsGroupFactor</vt:lpstr>
      <vt:lpstr>ComparePcaPlotsPlot1</vt:lpstr>
      <vt:lpstr>ComparePcaPlotsPlot2</vt:lpstr>
      <vt:lpstr>ComparePcaPlotsPlot3</vt:lpstr>
      <vt:lpstr>ComparePcaPlotsPlot4</vt:lpstr>
      <vt:lpstr>ComparePcaPlotsPlotName</vt:lpstr>
      <vt:lpstr>ComparePcaPlotsTotalCall</vt:lpstr>
      <vt:lpstr>ComparePvalHistCall</vt:lpstr>
      <vt:lpstr>ComparePvalHistCoefName</vt:lpstr>
      <vt:lpstr>ComparePvalHistCol</vt:lpstr>
      <vt:lpstr>ComparePvalHistExpEnd</vt:lpstr>
      <vt:lpstr>ComparePvalHistExpStart</vt:lpstr>
      <vt:lpstr>ComparePvalHistPlot1</vt:lpstr>
      <vt:lpstr>ComparePvalHistPlot2</vt:lpstr>
      <vt:lpstr>ComparePvalHistPlot3</vt:lpstr>
      <vt:lpstr>ComparePvalHistPlot4</vt:lpstr>
      <vt:lpstr>ComparePvalHistPlotname</vt:lpstr>
      <vt:lpstr>ComparePvalHistTotalCall</vt:lpstr>
      <vt:lpstr>ComparePvalHistXlab</vt:lpstr>
      <vt:lpstr>ComparePvalHistYlab</vt:lpstr>
      <vt:lpstr>ComparePvalHistYlim</vt:lpstr>
      <vt:lpstr>CompareRlaPlotsCall</vt:lpstr>
      <vt:lpstr>CompareRlaPlotsExpEnd</vt:lpstr>
      <vt:lpstr>CompareRlaPlotsExpStart</vt:lpstr>
      <vt:lpstr>CompareRlaPlotsGroupdata</vt:lpstr>
      <vt:lpstr>CompareRlaPlotsLfeaturedata</vt:lpstr>
      <vt:lpstr>CompareRlaPlotsNormmeth</vt:lpstr>
      <vt:lpstr>CompareRlaPlotsPlot1</vt:lpstr>
      <vt:lpstr>CompareRlaPlotsPlot2</vt:lpstr>
      <vt:lpstr>CompareRlaPlotsPlot3</vt:lpstr>
      <vt:lpstr>CompareRlaPlotsPlot4</vt:lpstr>
      <vt:lpstr>CompareRlaPlotsPlottitle</vt:lpstr>
      <vt:lpstr>CompareRlaPlotsSaveName</vt:lpstr>
      <vt:lpstr>CompareRlaPlotsTotalCall</vt:lpstr>
      <vt:lpstr>CompareRlaPlotsType</vt:lpstr>
      <vt:lpstr>CompareRlaPlotsYrange</vt:lpstr>
      <vt:lpstr>CompareVolcanoPlotsCall</vt:lpstr>
      <vt:lpstr>CompareVolcanoPlotsCoeflimit</vt:lpstr>
      <vt:lpstr>CompareVolcanoPlotsCoefName</vt:lpstr>
      <vt:lpstr>CompareVolcanoPlotsExpEnd</vt:lpstr>
      <vt:lpstr>CompareVolcanoPlotsExpStart</vt:lpstr>
      <vt:lpstr>CompareVolcanoPlotsLcoef</vt:lpstr>
      <vt:lpstr>CompareVolcanoPlotsLpvals</vt:lpstr>
      <vt:lpstr>CompareVolcanoPlotsNegcontrol</vt:lpstr>
      <vt:lpstr>CompareVolcanoPlotsNormmeth</vt:lpstr>
      <vt:lpstr>CompareVolcanoPlotsPlimit</vt:lpstr>
      <vt:lpstr>CompareVolcanoPlotsPlot1</vt:lpstr>
      <vt:lpstr>CompareVolcanoPlotsPlot2</vt:lpstr>
      <vt:lpstr>CompareVolcanoPlotsPlot3</vt:lpstr>
      <vt:lpstr>CompareVolcanoPlotsPlot4</vt:lpstr>
      <vt:lpstr>CompareVolcanoPlotsPlotname</vt:lpstr>
      <vt:lpstr>CompareVolcanoPlotsPoscontrol</vt:lpstr>
      <vt:lpstr>CompareVolcanoPlotsTotalCall</vt:lpstr>
      <vt:lpstr>CompareVolcanoPlotsXlab</vt:lpstr>
      <vt:lpstr>CompareVolcanoPlotsYlab</vt:lpstr>
      <vt:lpstr>CompareVolcanoPlotsYmax</vt:lpstr>
      <vt:lpstr>CompareVolcanoPlotsYmin</vt:lpstr>
      <vt:lpstr>CompareVolcanoPlotsYrange</vt:lpstr>
      <vt:lpstr>CurrentFeatDataSource</vt:lpstr>
      <vt:lpstr>CurrentMethod</vt:lpstr>
      <vt:lpstr>CurrentNorm</vt:lpstr>
      <vt:lpstr>DendDistStart</vt:lpstr>
      <vt:lpstr>DendFeatName</vt:lpstr>
      <vt:lpstr>DendoAggEnd</vt:lpstr>
      <vt:lpstr>DendoAggStart</vt:lpstr>
      <vt:lpstr>DendoDistEnd</vt:lpstr>
      <vt:lpstr>DendoDistStart</vt:lpstr>
      <vt:lpstr>DendrogramAggMethod</vt:lpstr>
      <vt:lpstr>DendrogramCall</vt:lpstr>
      <vt:lpstr>DendrogramCex</vt:lpstr>
      <vt:lpstr>DendrogramDistMethod</vt:lpstr>
      <vt:lpstr>DendrogramExpEnd</vt:lpstr>
      <vt:lpstr>DendrogramExpStart</vt:lpstr>
      <vt:lpstr>DendrogramGroupData</vt:lpstr>
      <vt:lpstr>DendrogramMain</vt:lpstr>
      <vt:lpstr>DendrogramPlotName</vt:lpstr>
      <vt:lpstr>DendrogramTotalCall</vt:lpstr>
      <vt:lpstr>featCutoff</vt:lpstr>
      <vt:lpstr>GenerateVennPlot</vt:lpstr>
      <vt:lpstr>GenerateVennPlotAsp</vt:lpstr>
      <vt:lpstr>GenerateVennPlotCall</vt:lpstr>
      <vt:lpstr>GenerateVennPlotCexval</vt:lpstr>
      <vt:lpstr>GenerateVennPlotCoeflimit</vt:lpstr>
      <vt:lpstr>GenerateVennPlotCoefName</vt:lpstr>
      <vt:lpstr>GenerateVennPlotExpEnd</vt:lpstr>
      <vt:lpstr>GenerateVennPlotExpStart</vt:lpstr>
      <vt:lpstr>GenerateVennPlotMain</vt:lpstr>
      <vt:lpstr>GenerateVennPlotPlot1</vt:lpstr>
      <vt:lpstr>GenerateVennPlotPlot2</vt:lpstr>
      <vt:lpstr>GenerateVennPlotPlot3</vt:lpstr>
      <vt:lpstr>GenerateVennPlotPlot4</vt:lpstr>
      <vt:lpstr>GenerateVennPlotPlotname</vt:lpstr>
      <vt:lpstr>GenerateVennPlotPval</vt:lpstr>
      <vt:lpstr>GenerateVennPlotTotalCall</vt:lpstr>
      <vt:lpstr>HeatAggEnd</vt:lpstr>
      <vt:lpstr>HeatAggStart</vt:lpstr>
      <vt:lpstr>HeatDendEnd</vt:lpstr>
      <vt:lpstr>HeatDendStart</vt:lpstr>
      <vt:lpstr>HeatDistEnd</vt:lpstr>
      <vt:lpstr>HeatDistStart</vt:lpstr>
      <vt:lpstr>HeatFeatName</vt:lpstr>
      <vt:lpstr>HeatMapAggMethod</vt:lpstr>
      <vt:lpstr>HeatMapCall</vt:lpstr>
      <vt:lpstr>HeatMapColramp</vt:lpstr>
      <vt:lpstr>HeatMapDendrogram</vt:lpstr>
      <vt:lpstr>HeatMapDistMethod</vt:lpstr>
      <vt:lpstr>HeatMapExpEnd</vt:lpstr>
      <vt:lpstr>HeatMapExpStart</vt:lpstr>
      <vt:lpstr>HeatMapGroupData</vt:lpstr>
      <vt:lpstr>HeatMapPlotName</vt:lpstr>
      <vt:lpstr>HeatMapScale</vt:lpstr>
      <vt:lpstr>HeatMapTotalCall</vt:lpstr>
      <vt:lpstr>HeatScaleEnd</vt:lpstr>
      <vt:lpstr>HeatScaleStart</vt:lpstr>
      <vt:lpstr>historyDir</vt:lpstr>
      <vt:lpstr>LinearModelFitCall</vt:lpstr>
      <vt:lpstr>LinearModelFitCi_Alpha</vt:lpstr>
      <vt:lpstr>LinearModelFitCurrentFactors</vt:lpstr>
      <vt:lpstr>LinearModelFitCurrentIntercept</vt:lpstr>
      <vt:lpstr>LinearModelFitExpEnd</vt:lpstr>
      <vt:lpstr>LinearModelFitExpStart</vt:lpstr>
      <vt:lpstr>LinearModelFitFactoMatCall</vt:lpstr>
      <vt:lpstr>LinearModelFitFactorMat</vt:lpstr>
      <vt:lpstr>LinearModelFitFactorMatEnd</vt:lpstr>
      <vt:lpstr>LinearModelFitFactorMatShow</vt:lpstr>
      <vt:lpstr>LinearModelFitFactorMatStart</vt:lpstr>
      <vt:lpstr>LinearModelFitK</vt:lpstr>
      <vt:lpstr>LinearModelFitModerated</vt:lpstr>
      <vt:lpstr>LinearModelFitOutputname</vt:lpstr>
      <vt:lpstr>LinearModelFitPAdjMeth</vt:lpstr>
      <vt:lpstr>LinearModelFitQcmets</vt:lpstr>
      <vt:lpstr>LinearModelFitRuv2</vt:lpstr>
      <vt:lpstr>LinearModelFitTotalCall</vt:lpstr>
      <vt:lpstr>LMCurrentFactor</vt:lpstr>
      <vt:lpstr>LMFPAdjMethEnd</vt:lpstr>
      <vt:lpstr>LMFPAdjMethStart</vt:lpstr>
      <vt:lpstr>LogTransformCall</vt:lpstr>
      <vt:lpstr>LogTransformExpEnd</vt:lpstr>
      <vt:lpstr>LogTransformExpStart</vt:lpstr>
      <vt:lpstr>LogTransformFeatName</vt:lpstr>
      <vt:lpstr>LogTransformTotalCall</vt:lpstr>
      <vt:lpstr>MissfeatCutoff</vt:lpstr>
      <vt:lpstr>MissingComp</vt:lpstr>
      <vt:lpstr>MissingFeatCutoff</vt:lpstr>
      <vt:lpstr>MissingFeatMaxknn</vt:lpstr>
      <vt:lpstr>MissingFeatName</vt:lpstr>
      <vt:lpstr>MissingK</vt:lpstr>
      <vt:lpstr>MissingMetabName</vt:lpstr>
      <vt:lpstr>MissingMethod</vt:lpstr>
      <vt:lpstr>MissingSampCutoff</vt:lpstr>
      <vt:lpstr>MissingSampMaxknn</vt:lpstr>
      <vt:lpstr>MissingSampName</vt:lpstr>
      <vt:lpstr>MissingSeed</vt:lpstr>
      <vt:lpstr>MissingValuesCall</vt:lpstr>
      <vt:lpstr>MissingValuesExpEnd</vt:lpstr>
      <vt:lpstr>MissingValuesExpStart</vt:lpstr>
      <vt:lpstr>MissingValuesTotalCall</vt:lpstr>
      <vt:lpstr>ModelFitFeatName</vt:lpstr>
      <vt:lpstr>MyRscriptLocation</vt:lpstr>
      <vt:lpstr>MyWorkingDirectory</vt:lpstr>
      <vt:lpstr>Norm1Empty</vt:lpstr>
      <vt:lpstr>Norm1Intercept</vt:lpstr>
      <vt:lpstr>Norm1LMdata</vt:lpstr>
      <vt:lpstr>Norm1Method</vt:lpstr>
      <vt:lpstr>Norm1NumFactors</vt:lpstr>
      <vt:lpstr>Norm2Empty</vt:lpstr>
      <vt:lpstr>Norm2Intercept</vt:lpstr>
      <vt:lpstr>Norm2LMdata</vt:lpstr>
      <vt:lpstr>Norm2Method</vt:lpstr>
      <vt:lpstr>Norm2NumFactors</vt:lpstr>
      <vt:lpstr>Norm3Empty</vt:lpstr>
      <vt:lpstr>Norm3Intercept</vt:lpstr>
      <vt:lpstr>Norm3LMdata</vt:lpstr>
      <vt:lpstr>Norm3Method</vt:lpstr>
      <vt:lpstr>Norm3NumFactors</vt:lpstr>
      <vt:lpstr>Norm4Empty</vt:lpstr>
      <vt:lpstr>Norm4Intercept</vt:lpstr>
      <vt:lpstr>Norm4LMdata</vt:lpstr>
      <vt:lpstr>Norm4Method</vt:lpstr>
      <vt:lpstr>Norm4NumFactors</vt:lpstr>
      <vt:lpstr>NormCombinedActive</vt:lpstr>
      <vt:lpstr>NormCombinedCall</vt:lpstr>
      <vt:lpstr>NormCombinedExpEnd</vt:lpstr>
      <vt:lpstr>NormCombinedExpStart</vt:lpstr>
      <vt:lpstr>NormCombinedMeth1End</vt:lpstr>
      <vt:lpstr>NormCombinedMeth1Start</vt:lpstr>
      <vt:lpstr>NormCombinedMeth2End</vt:lpstr>
      <vt:lpstr>NormCombinedMeth2Start</vt:lpstr>
      <vt:lpstr>NormCombinedMethod1</vt:lpstr>
      <vt:lpstr>NormCombinedMethod2</vt:lpstr>
      <vt:lpstr>NormQcmetsCall</vt:lpstr>
      <vt:lpstr>NormQcmetsExpEnd</vt:lpstr>
      <vt:lpstr>NormQcmetsExpStart</vt:lpstr>
      <vt:lpstr>NormQcmetsISvec</vt:lpstr>
      <vt:lpstr>NormQcmetsISvecCall</vt:lpstr>
      <vt:lpstr>NormQcmetsK</vt:lpstr>
      <vt:lpstr>NormQcmetsLambda</vt:lpstr>
      <vt:lpstr>NormQcmetsLambdaUpdate</vt:lpstr>
      <vt:lpstr>NormQcmetsMaxIter</vt:lpstr>
      <vt:lpstr>NormQcmetsMethod</vt:lpstr>
      <vt:lpstr>NormQcmetsNcomp</vt:lpstr>
      <vt:lpstr>NormQcmetsNUpdate</vt:lpstr>
      <vt:lpstr>NormQcmetsOutputName</vt:lpstr>
      <vt:lpstr>NormQcmetsP</vt:lpstr>
      <vt:lpstr>NormQcmetsPlotK</vt:lpstr>
      <vt:lpstr>NormQcmetsQcmets</vt:lpstr>
      <vt:lpstr>NormQcmetsSampledata</vt:lpstr>
      <vt:lpstr>NormQcmetsTotalCall</vt:lpstr>
      <vt:lpstr>NormQcsamplesCall</vt:lpstr>
      <vt:lpstr>NormQcsamplesdata</vt:lpstr>
      <vt:lpstr>NormQcsamplesDeg</vt:lpstr>
      <vt:lpstr>NormQcsamplesExpEnd</vt:lpstr>
      <vt:lpstr>NormQcsamplesExpStart</vt:lpstr>
      <vt:lpstr>NormQcsamplesMethod</vt:lpstr>
      <vt:lpstr>NormQcsamplesOutputName</vt:lpstr>
      <vt:lpstr>NormQcsamplesRunData</vt:lpstr>
      <vt:lpstr>NormQcsamplesSapn</vt:lpstr>
      <vt:lpstr>NormQcsamplesSpan</vt:lpstr>
      <vt:lpstr>NormQcsamplesTotalCall</vt:lpstr>
      <vt:lpstr>NormScalingCall</vt:lpstr>
      <vt:lpstr>NormScalingExpEnd</vt:lpstr>
      <vt:lpstr>NormScalingExpStart</vt:lpstr>
      <vt:lpstr>NormScalingMethod</vt:lpstr>
      <vt:lpstr>NormScalingRefVec</vt:lpstr>
      <vt:lpstr>NormScalingRefVecCall</vt:lpstr>
      <vt:lpstr>NormScalingTotalCall</vt:lpstr>
      <vt:lpstr>PcaFeatName</vt:lpstr>
      <vt:lpstr>PcaGroupData</vt:lpstr>
      <vt:lpstr>PcaN</vt:lpstr>
      <vt:lpstr>PcaPlotName</vt:lpstr>
      <vt:lpstr>PcaPlotsCall</vt:lpstr>
      <vt:lpstr>PcaPlotsExpEnd</vt:lpstr>
      <vt:lpstr>PcaPlotsExpStart</vt:lpstr>
      <vt:lpstr>PcaPlotsTotalCall</vt:lpstr>
      <vt:lpstr>PcaXAxis</vt:lpstr>
      <vt:lpstr>PcaYAxis</vt:lpstr>
      <vt:lpstr>QcmetsFeatName</vt:lpstr>
      <vt:lpstr>QcmetsMethodEnd</vt:lpstr>
      <vt:lpstr>QcmetsMethodStart</vt:lpstr>
      <vt:lpstr>QcsamplesFeatName</vt:lpstr>
      <vt:lpstr>RfolderLoc</vt:lpstr>
      <vt:lpstr>RlaFeatName</vt:lpstr>
      <vt:lpstr>RlaGroupData</vt:lpstr>
      <vt:lpstr>RlaPlotName</vt:lpstr>
      <vt:lpstr>RlaPlotsCall</vt:lpstr>
      <vt:lpstr>RlaPlotsExpEnd</vt:lpstr>
      <vt:lpstr>RlaPlotsExpStart</vt:lpstr>
      <vt:lpstr>RlaPlotsTotalCall</vt:lpstr>
      <vt:lpstr>RlaType</vt:lpstr>
      <vt:lpstr>rTempDir</vt:lpstr>
      <vt:lpstr>rWorkingDir</vt:lpstr>
      <vt:lpstr>sampleCutoff</vt:lpstr>
      <vt:lpstr>ScalingFeatName</vt:lpstr>
      <vt:lpstr>ScalingMethodEnd</vt:lpstr>
      <vt:lpstr>ScalingMethodStart</vt:lpstr>
      <vt:lpstr>SvmFitAccuracyCall</vt:lpstr>
      <vt:lpstr>SvmFitAccuracyCost</vt:lpstr>
      <vt:lpstr>SvmFitAccuracyCrossvalid</vt:lpstr>
      <vt:lpstr>SvmFitAccuracyExpEnd</vt:lpstr>
      <vt:lpstr>SvmFitAccuracyExpStart</vt:lpstr>
      <vt:lpstr>SvmFitAccuracyFeatName</vt:lpstr>
      <vt:lpstr>SvmFitAccuracyGamma</vt:lpstr>
      <vt:lpstr>SvmFitAccuracyGroupdata</vt:lpstr>
      <vt:lpstr>SvmFitAccuracyK</vt:lpstr>
      <vt:lpstr>SvmFitAccuracyOutName</vt:lpstr>
      <vt:lpstr>SvmFitAccuracyPGroupdata</vt:lpstr>
      <vt:lpstr>SvmFitAccuracyTotalCall</vt:lpstr>
      <vt:lpstr>SvmFitAccuracyTune</vt:lpstr>
      <vt:lpstr>tempDir</vt:lpstr>
      <vt:lpstr>UVRlaPlotsCall</vt:lpstr>
      <vt:lpstr>UVRlaPlotsExpEnd</vt:lpstr>
      <vt:lpstr>UVRlaPlotsExpStart</vt:lpstr>
      <vt:lpstr>UVRlaPlotsGroupdata</vt:lpstr>
      <vt:lpstr>UVRlaPlotsPlot1</vt:lpstr>
      <vt:lpstr>UVRlaPlotsPlot2</vt:lpstr>
      <vt:lpstr>UVRlaPlotsPlot3</vt:lpstr>
      <vt:lpstr>UVRlaPlotsPlot4</vt:lpstr>
      <vt:lpstr>UVRlaPlotsPlottitle</vt:lpstr>
      <vt:lpstr>UVRlaPlotsSaveName</vt:lpstr>
      <vt:lpstr>UVRlaPlotsTotalCall</vt:lpstr>
      <vt:lpstr>UVRlaPlotsType</vt:lpstr>
      <vt:lpstr>UVRlaPlotsYrange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Gavriel</dc:creator>
  <cp:lastModifiedBy>Gavriel</cp:lastModifiedBy>
  <dcterms:created xsi:type="dcterms:W3CDTF">2017-04-26T03:14:36Z</dcterms:created>
  <dcterms:modified xsi:type="dcterms:W3CDTF">2017-09-28T04:21:39Z</dcterms:modified>
</cp:coreProperties>
</file>